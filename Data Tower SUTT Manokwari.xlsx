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future v2" sheetId="2" r:id="rId5"/>
    <sheet state="hidden" name="data siap untuk konvert KML" sheetId="3" r:id="rId6"/>
    <sheet state="hidden" name="Sheet2" sheetId="4" r:id="rId7"/>
    <sheet state="hidden" name="Sheet4" sheetId="5" r:id="rId8"/>
    <sheet state="visible" name="AHP" sheetId="6" r:id="rId9"/>
    <sheet state="visible" name="Data_Hasil_Cluster_ML" sheetId="7" r:id="rId10"/>
    <sheet state="visible" name="KOMPARASI AHP ML" sheetId="8" r:id="rId11"/>
  </sheets>
  <definedNames>
    <definedName hidden="1" localSheetId="6" name="_xlnm._FilterDatabase">Data_Hasil_Cluster_ML!$A$4:$W$117</definedName>
    <definedName hidden="1" localSheetId="7" name="_xlnm._FilterDatabase">'KOMPARASI AHP ML'!$A$1:$D$114</definedName>
  </definedNames>
  <calcPr/>
  <extLst>
    <ext uri="GoogleSheetsCustomDataVersion2">
      <go:sheetsCustomData xmlns:go="http://customooxmlschemas.google.com/" r:id="rId12" roundtripDataChecksum="JZp6L3JFMXHr2yNWKrwPOOjI7YC+w4d3iMe9IefS/mo="/>
    </ext>
  </extLst>
</workbook>
</file>

<file path=xl/sharedStrings.xml><?xml version="1.0" encoding="utf-8"?>
<sst xmlns="http://schemas.openxmlformats.org/spreadsheetml/2006/main" count="3409" uniqueCount="489">
  <si>
    <t>No Tower</t>
  </si>
  <si>
    <t>Desa</t>
  </si>
  <si>
    <t>Kecamatan</t>
  </si>
  <si>
    <t>Kabupaten</t>
  </si>
  <si>
    <t>Tutupan Lahan (Z)</t>
  </si>
  <si>
    <t>E (X)</t>
  </si>
  <si>
    <t>N (Y)</t>
  </si>
  <si>
    <t>Latitude</t>
  </si>
  <si>
    <t>Longtitude</t>
  </si>
  <si>
    <t>Jarak  antar tower(meter)</t>
  </si>
  <si>
    <t>elevasi permukaan tanah</t>
  </si>
  <si>
    <t>jarak ke jalan</t>
  </si>
  <si>
    <t>jarak kesungai</t>
  </si>
  <si>
    <t>soil</t>
  </si>
  <si>
    <t>AHP</t>
  </si>
  <si>
    <t>AHP_Jarak ke tower</t>
  </si>
  <si>
    <t>AHP_jarak ke jalan</t>
  </si>
  <si>
    <t>AHP_jarak ke sungai</t>
  </si>
  <si>
    <t>AHP_Elevasi</t>
  </si>
  <si>
    <t>ahp 1</t>
  </si>
  <si>
    <t>ahp 2</t>
  </si>
  <si>
    <t>ahp 3</t>
  </si>
  <si>
    <t>ahp 4</t>
  </si>
  <si>
    <t>T1</t>
  </si>
  <si>
    <t>Anday</t>
  </si>
  <si>
    <t>Manokwari Selatan</t>
  </si>
  <si>
    <t>Manokwari</t>
  </si>
  <si>
    <t>Hutan</t>
  </si>
  <si>
    <t>-0.9369673275776959</t>
  </si>
  <si>
    <t xml:space="preserve"> </t>
  </si>
  <si>
    <t>Skor_s2</t>
  </si>
  <si>
    <t>Skor 5 : 380 – 420 m</t>
  </si>
  <si>
    <t>Skor 4 : 340 – 380 m atau 420 – 460 m</t>
  </si>
  <si>
    <t>Skor 3 : 300 – 340 m atau 460 – 500 m</t>
  </si>
  <si>
    <t>Skor 2 : 260 – 300 m atau 500 – 540 m</t>
  </si>
  <si>
    <t>Skor 1 : &lt;260 m atau &gt;540 m</t>
  </si>
  <si>
    <t xml:space="preserve">Tutupan Lahan </t>
  </si>
  <si>
    <t>T2</t>
  </si>
  <si>
    <t>-0.9381796290437072</t>
  </si>
  <si>
    <t>134.01145844850112</t>
  </si>
  <si>
    <t>Biaya_Pembebasan_Lahan</t>
  </si>
  <si>
    <t>T3</t>
  </si>
  <si>
    <t>-0.9390083297563727</t>
  </si>
  <si>
    <t>134.00816816909355</t>
  </si>
  <si>
    <t>T4</t>
  </si>
  <si>
    <t>-0.941668589810542</t>
  </si>
  <si>
    <t>Jenis_tower</t>
  </si>
  <si>
    <t>134.00560667005618</t>
  </si>
  <si>
    <t>T5</t>
  </si>
  <si>
    <t>Biaya_Struktur_Tower</t>
  </si>
  <si>
    <t>-0.9434777855284895</t>
  </si>
  <si>
    <t>134.00257190604285</t>
  </si>
  <si>
    <t>T6</t>
  </si>
  <si>
    <t>-0.9448778016282399</t>
  </si>
  <si>
    <t>134.0002227813792</t>
  </si>
  <si>
    <t>T7</t>
  </si>
  <si>
    <t>-0.9462216216839158</t>
  </si>
  <si>
    <t>133.9979693701692</t>
  </si>
  <si>
    <t>T8</t>
  </si>
  <si>
    <t>-0.947528448657148</t>
  </si>
  <si>
    <t>133.9956812177885</t>
  </si>
  <si>
    <t>T9</t>
  </si>
  <si>
    <t>-0.9497869349328288</t>
  </si>
  <si>
    <t>133.99459544562265</t>
  </si>
  <si>
    <t>T10</t>
  </si>
  <si>
    <t>-0.9521700824066085</t>
  </si>
  <si>
    <t>133.99718535674884</t>
  </si>
  <si>
    <t>T11</t>
  </si>
  <si>
    <t>-0.9545979524318333</t>
  </si>
  <si>
    <t>133.99995318471878</t>
  </si>
  <si>
    <t>T12</t>
  </si>
  <si>
    <t>-0.9571808087387073</t>
  </si>
  <si>
    <t>134.00114915838333</t>
  </si>
  <si>
    <t>T13</t>
  </si>
  <si>
    <t>-0.9588493990088214</t>
  </si>
  <si>
    <t>134.00170618735652</t>
  </si>
  <si>
    <t>T14</t>
  </si>
  <si>
    <t>-0.9618897509911257</t>
  </si>
  <si>
    <t>134.00166082136892</t>
  </si>
  <si>
    <t>T15</t>
  </si>
  <si>
    <t>-0.9641971363156717</t>
  </si>
  <si>
    <t>134.00166354693835</t>
  </si>
  <si>
    <t>T16</t>
  </si>
  <si>
    <t>-0.9682482289570863</t>
  </si>
  <si>
    <t>134.00108800062097</t>
  </si>
  <si>
    <t>DDR</t>
  </si>
  <si>
    <t>T17</t>
  </si>
  <si>
    <t>-0.9700641379719624</t>
  </si>
  <si>
    <t>134.0000163496213</t>
  </si>
  <si>
    <t>T18</t>
  </si>
  <si>
    <t>-0.9729124645944208</t>
  </si>
  <si>
    <t>133.99813310459092</t>
  </si>
  <si>
    <t>T19</t>
  </si>
  <si>
    <t>-0.9751868222095926</t>
  </si>
  <si>
    <t>133.9966623597343</t>
  </si>
  <si>
    <t>T20</t>
  </si>
  <si>
    <t>-0.9775614131073307</t>
  </si>
  <si>
    <t>133.99512669854386</t>
  </si>
  <si>
    <t>T21</t>
  </si>
  <si>
    <t>-0.9797733246033568</t>
  </si>
  <si>
    <t>133.99369647828138</t>
  </si>
  <si>
    <t>T22</t>
  </si>
  <si>
    <t>-0.9818037987658081</t>
  </si>
  <si>
    <t>133.9907714869864</t>
  </si>
  <si>
    <t>T23</t>
  </si>
  <si>
    <t>-0.9823044329396564</t>
  </si>
  <si>
    <t>133.98904469497813</t>
  </si>
  <si>
    <t>T24</t>
  </si>
  <si>
    <t>-0.9829303094321155</t>
  </si>
  <si>
    <t>BB</t>
  </si>
  <si>
    <t>133.98688574259864</t>
  </si>
  <si>
    <t>T25</t>
  </si>
  <si>
    <t>-0.9835548078460229</t>
  </si>
  <si>
    <t>133.9847239783393</t>
  </si>
  <si>
    <t>T26</t>
  </si>
  <si>
    <t>-0.9838186023510439</t>
  </si>
  <si>
    <t>133.98136009171273</t>
  </si>
  <si>
    <t>T27</t>
  </si>
  <si>
    <t>Pemodelan Kelayakan Lokasi Tower SUTT Menggunakan Machine Learning dan Analisis Weighted Overlay Berbasis Faktor Teknis dan Lingkungan di Kabupaten Manokwari</t>
  </si>
  <si>
    <t>-0.9824654481422546</t>
  </si>
  <si>
    <t>133.97931572943128</t>
  </si>
  <si>
    <t>T28</t>
  </si>
  <si>
    <t>-0.9807188069427193</t>
  </si>
  <si>
    <t>Pekarangan</t>
  </si>
  <si>
    <t>133.9766748946705</t>
  </si>
  <si>
    <t>komparasi machine learning denga</t>
  </si>
  <si>
    <t>T29</t>
  </si>
  <si>
    <t>-0.978922036649253</t>
  </si>
  <si>
    <t>133.97395278633982</t>
  </si>
  <si>
    <t>T30</t>
  </si>
  <si>
    <t>akibat ekektromagnetik</t>
  </si>
  <si>
    <t>-0.9771235396069261</t>
  </si>
  <si>
    <t>CC</t>
  </si>
  <si>
    <t>133.971231230944</t>
  </si>
  <si>
    <t>T31</t>
  </si>
  <si>
    <t>133.9682812328115</t>
  </si>
  <si>
    <t>Dihara</t>
  </si>
  <si>
    <t>koordinat dan titik tower yang paling optimal</t>
  </si>
  <si>
    <t>T32</t>
  </si>
  <si>
    <t>-0.9735731289383699</t>
  </si>
  <si>
    <t>133.9658597145811</t>
  </si>
  <si>
    <t>T33</t>
  </si>
  <si>
    <t>-0.9719464759201557</t>
  </si>
  <si>
    <t>133.96339665344303</t>
  </si>
  <si>
    <t>T34</t>
  </si>
  <si>
    <t>-0.9700725595264519</t>
  </si>
  <si>
    <t>133.96056159251674</t>
  </si>
  <si>
    <t>T35</t>
  </si>
  <si>
    <t>-0.9683619048811895</t>
  </si>
  <si>
    <t>133.9579684844804</t>
  </si>
  <si>
    <t>T36</t>
  </si>
  <si>
    <t>-0.966756414472994</t>
  </si>
  <si>
    <t>133.95554173346665</t>
  </si>
  <si>
    <t>T37</t>
  </si>
  <si>
    <t>-0.9651944301204702</t>
  </si>
  <si>
    <t>133.95318699933722</t>
  </si>
  <si>
    <t>T38</t>
  </si>
  <si>
    <t>-0.9649490616024703</t>
  </si>
  <si>
    <t>133.94988562313964</t>
  </si>
  <si>
    <t>T39</t>
  </si>
  <si>
    <t>-0.9647434677648117</t>
  </si>
  <si>
    <t>133.94711720915035</t>
  </si>
  <si>
    <t>T40</t>
  </si>
  <si>
    <t>-0.9651539170519197</t>
  </si>
  <si>
    <t>133.94354738265602</t>
  </si>
  <si>
    <t>T41</t>
  </si>
  <si>
    <t>-0.9654753785312272</t>
  </si>
  <si>
    <t>133.94075532085816</t>
  </si>
  <si>
    <t>Kebun sawit, Jalan</t>
  </si>
  <si>
    <t>T42</t>
  </si>
  <si>
    <t>-0.9664197911442868</t>
  </si>
  <si>
    <t>133.93802756344454</t>
  </si>
  <si>
    <t>T43</t>
  </si>
  <si>
    <t>-0.9683483316129188</t>
  </si>
  <si>
    <t>133.9359391291598</t>
  </si>
  <si>
    <t>AA</t>
  </si>
  <si>
    <t>T44</t>
  </si>
  <si>
    <t>-0.9706667488494579</t>
  </si>
  <si>
    <t>133.93342791036412</t>
  </si>
  <si>
    <t>T45</t>
  </si>
  <si>
    <t>-0.9712110976897675</t>
  </si>
  <si>
    <t>133.92969157499718</t>
  </si>
  <si>
    <t>T46</t>
  </si>
  <si>
    <t>-0.9717062834510862</t>
  </si>
  <si>
    <t>133.92631238868205</t>
  </si>
  <si>
    <t>T47</t>
  </si>
  <si>
    <t>-0.9723043362206008</t>
  </si>
  <si>
    <t>133.92221369158378</t>
  </si>
  <si>
    <t>T48</t>
  </si>
  <si>
    <t>-0.9711233959088295</t>
  </si>
  <si>
    <t>133.9197925295319</t>
  </si>
  <si>
    <t>T49</t>
  </si>
  <si>
    <t>-0.9696268530209662</t>
  </si>
  <si>
    <t>133.9167266600223</t>
  </si>
  <si>
    <t>T50</t>
  </si>
  <si>
    <t>-0.9681587505842784</t>
  </si>
  <si>
    <t>133.9137190094059</t>
  </si>
  <si>
    <t>T51</t>
  </si>
  <si>
    <t>-0.9666164513952145</t>
  </si>
  <si>
    <t>133.91055694734</t>
  </si>
  <si>
    <t>T52</t>
  </si>
  <si>
    <t>-0.9650344889309966</t>
  </si>
  <si>
    <t>133.90731574241246</t>
  </si>
  <si>
    <t>T53</t>
  </si>
  <si>
    <t>-0.96382613258608</t>
  </si>
  <si>
    <t>133.90483961211018</t>
  </si>
  <si>
    <t>T54</t>
  </si>
  <si>
    <t>-0.9623907342713622</t>
  </si>
  <si>
    <t>133.90189765158735</t>
  </si>
  <si>
    <t>T55</t>
  </si>
  <si>
    <t>-0.9610724005047753</t>
  </si>
  <si>
    <t>133.89919434428612</t>
  </si>
  <si>
    <t>T56</t>
  </si>
  <si>
    <t>-0.9587306791074478</t>
  </si>
  <si>
    <t>133.8963087218478</t>
  </si>
  <si>
    <t>T57</t>
  </si>
  <si>
    <t>-0.9556696040975436</t>
  </si>
  <si>
    <t>hutan, Sungai</t>
  </si>
  <si>
    <t>133.89438404245462</t>
  </si>
  <si>
    <t>T58</t>
  </si>
  <si>
    <t>-0.953016734210808</t>
  </si>
  <si>
    <t>133.89271716780033</t>
  </si>
  <si>
    <t>T59</t>
  </si>
  <si>
    <t>-0.9503589641895985</t>
  </si>
  <si>
    <t>133.89105159885705</t>
  </si>
  <si>
    <t>T60</t>
  </si>
  <si>
    <t>-0.9477808777833074</t>
  </si>
  <si>
    <t>133.89137420958494</t>
  </si>
  <si>
    <t>T61</t>
  </si>
  <si>
    <t>-0.9451666123270493</t>
  </si>
  <si>
    <t>133.89258233632708</t>
  </si>
  <si>
    <t>T62</t>
  </si>
  <si>
    <t>Hutan, Sungai</t>
  </si>
  <si>
    <t>-0.9427491908807494</t>
  </si>
  <si>
    <t>133.89437344460825</t>
  </si>
  <si>
    <t>T63</t>
  </si>
  <si>
    <t>-0.9402999239066819</t>
  </si>
  <si>
    <t>133.89618945152495</t>
  </si>
  <si>
    <t>T64</t>
  </si>
  <si>
    <t>-0.9377634643631811</t>
  </si>
  <si>
    <t>133.89806891637673</t>
  </si>
  <si>
    <t>T65</t>
  </si>
  <si>
    <t>-0.9352893893516445</t>
  </si>
  <si>
    <t>133.8991497753775</t>
  </si>
  <si>
    <t>Waruri / Weluri</t>
  </si>
  <si>
    <t>T66</t>
  </si>
  <si>
    <t>-0.9327281983679346</t>
  </si>
  <si>
    <t>133.89829121632567</t>
  </si>
  <si>
    <t>T67</t>
  </si>
  <si>
    <t>-0.9304616353226872</t>
  </si>
  <si>
    <t>133.89583103601876</t>
  </si>
  <si>
    <t>T68</t>
  </si>
  <si>
    <t>-0.9289330170005797</t>
  </si>
  <si>
    <t>133.89404155997914</t>
  </si>
  <si>
    <t>T69</t>
  </si>
  <si>
    <t>-0.9267884396843363</t>
  </si>
  <si>
    <t>133.89153220210113</t>
  </si>
  <si>
    <t>T70</t>
  </si>
  <si>
    <t>-0.9245706312908826</t>
  </si>
  <si>
    <t>133.88893697142862</t>
  </si>
  <si>
    <t>T71</t>
  </si>
  <si>
    <t>-0.922425179905149</t>
  </si>
  <si>
    <t>133.88642631817706</t>
  </si>
  <si>
    <t>T72</t>
  </si>
  <si>
    <t>-0.9200939654650935</t>
  </si>
  <si>
    <t>133.88369798208402</t>
  </si>
  <si>
    <t>T73</t>
  </si>
  <si>
    <t>-0.9178628067382684</t>
  </si>
  <si>
    <t>133.8810864842666</t>
  </si>
  <si>
    <t>T74</t>
  </si>
  <si>
    <t>-0.9149530691434549</t>
  </si>
  <si>
    <t>133.87901458607246</t>
  </si>
  <si>
    <t>EE</t>
  </si>
  <si>
    <t>T75</t>
  </si>
  <si>
    <t>-0.9127170286834815</t>
  </si>
  <si>
    <t>133.87639724672968</t>
  </si>
  <si>
    <t>T76</t>
  </si>
  <si>
    <t>DATA AHP TOWER SUTT</t>
  </si>
  <si>
    <t>-0.910480529048236</t>
  </si>
  <si>
    <t>133.873780100133</t>
  </si>
  <si>
    <t>T77</t>
  </si>
  <si>
    <t>-0.9082944969494883</t>
  </si>
  <si>
    <t>133.87122194459005</t>
  </si>
  <si>
    <t>T78</t>
  </si>
  <si>
    <t>Hutan,Sungai</t>
  </si>
  <si>
    <t>-0.9061212076109525</t>
  </si>
  <si>
    <t>133.8686785889107</t>
  </si>
  <si>
    <t>T79</t>
  </si>
  <si>
    <t>-0.9042717509173458</t>
  </si>
  <si>
    <t>133.86651383717512</t>
  </si>
  <si>
    <t>T80</t>
  </si>
  <si>
    <t>-0.9020428873522722</t>
  </si>
  <si>
    <t>133.8639052935475</t>
  </si>
  <si>
    <t>T81</t>
  </si>
  <si>
    <t>-0.8998142070218011</t>
  </si>
  <si>
    <t>133.8612973377956</t>
  </si>
  <si>
    <t>T82</t>
  </si>
  <si>
    <t>-0.8975706976823539</t>
  </si>
  <si>
    <t>133.85867151722064</t>
  </si>
  <si>
    <t>T83</t>
  </si>
  <si>
    <t>-0.8955649117883829</t>
  </si>
  <si>
    <t>133.8563243107588</t>
  </si>
  <si>
    <t>T84</t>
  </si>
  <si>
    <t>-0.8935925084827406</t>
  </si>
  <si>
    <t>133.85401557519987</t>
  </si>
  <si>
    <t>T85</t>
  </si>
  <si>
    <t>-0.8916571075351504</t>
  </si>
  <si>
    <t>133.8517506020297</t>
  </si>
  <si>
    <t>T86</t>
  </si>
  <si>
    <t>-0.8900321871854008</t>
  </si>
  <si>
    <t>133.84926377000906</t>
  </si>
  <si>
    <t>T87</t>
  </si>
  <si>
    <t>-0.8888009955553233</t>
  </si>
  <si>
    <t>133.8467108531685</t>
  </si>
  <si>
    <t>T88</t>
  </si>
  <si>
    <t>-0.8892931921200988</t>
  </si>
  <si>
    <t>133.84397422494686</t>
  </si>
  <si>
    <t>T89</t>
  </si>
  <si>
    <t>-0.8899301567664959</t>
  </si>
  <si>
    <t>133.840976951146</t>
  </si>
  <si>
    <t>T90</t>
  </si>
  <si>
    <t>-0.890512168890436</t>
  </si>
  <si>
    <t>133.83773013834266</t>
  </si>
  <si>
    <t>T91</t>
  </si>
  <si>
    <t>-0.8913422200784172</t>
  </si>
  <si>
    <t>Maruni</t>
  </si>
  <si>
    <t>133.83462564165495</t>
  </si>
  <si>
    <t>T92</t>
  </si>
  <si>
    <t>-0.892182648717221</t>
  </si>
  <si>
    <t>Biaya Struktur</t>
  </si>
  <si>
    <t>133.8317406792358</t>
  </si>
  <si>
    <t>T93</t>
  </si>
  <si>
    <t>hutan</t>
  </si>
  <si>
    <t>Biaya Tutupan Lahan</t>
  </si>
  <si>
    <t>-0.8930837466663554</t>
  </si>
  <si>
    <t>Elevasi Permukaan Tanah</t>
  </si>
  <si>
    <t>133.82876131069193</t>
  </si>
  <si>
    <t>T94</t>
  </si>
  <si>
    <t>Jenis Tower (Kode)</t>
  </si>
  <si>
    <t>-0.8947053891234592</t>
  </si>
  <si>
    <t>133.8262123566567</t>
  </si>
  <si>
    <t>Jarak ke Jalan</t>
  </si>
  <si>
    <t>T95</t>
  </si>
  <si>
    <t>Jarak ke Sungai</t>
  </si>
  <si>
    <t>-0.8964197172441603</t>
  </si>
  <si>
    <t>133.82319570829034</t>
  </si>
  <si>
    <t>Jarak Antar Tower</t>
  </si>
  <si>
    <t>T96</t>
  </si>
  <si>
    <t>-0.8954348177740856</t>
  </si>
  <si>
    <t>133.82041774506345</t>
  </si>
  <si>
    <t>T97</t>
  </si>
  <si>
    <t>-0.8932931503591115</t>
  </si>
  <si>
    <t>133.8179104338925</t>
  </si>
  <si>
    <t>Tutupan Lahan</t>
  </si>
  <si>
    <t>T98</t>
  </si>
  <si>
    <t>-0.8910386730908153</t>
  </si>
  <si>
    <t>Biaya Struktur (Skor 1-5)</t>
  </si>
  <si>
    <t>133.81526822113423</t>
  </si>
  <si>
    <t>Bobot AHP</t>
  </si>
  <si>
    <t>T99</t>
  </si>
  <si>
    <t>-0.8888739627114483</t>
  </si>
  <si>
    <t>Biaya Pembebasan Lahan (Skor 1-5)</t>
  </si>
  <si>
    <t>133.8127333918565</t>
  </si>
  <si>
    <t>T100</t>
  </si>
  <si>
    <t>-0.8869661845617959</t>
  </si>
  <si>
    <t>Elevasi Permukaan Tanah (Skor 1-5)</t>
  </si>
  <si>
    <t>133.81049813587276</t>
  </si>
  <si>
    <t>T101</t>
  </si>
  <si>
    <t>Jenis Tower (Kode) (Skor 1-5)</t>
  </si>
  <si>
    <t>-0.8845192567479147</t>
  </si>
  <si>
    <t>133.80763220286428</t>
  </si>
  <si>
    <t>Jarak ke Jalan (Skor 1-5)</t>
  </si>
  <si>
    <t>T102</t>
  </si>
  <si>
    <t>-0.8821918112343702</t>
  </si>
  <si>
    <t>133.8049058852401</t>
  </si>
  <si>
    <t>Jarak ke Sungai (Skor 1-5)</t>
  </si>
  <si>
    <t>T103</t>
  </si>
  <si>
    <t>-0.8803454712536731</t>
  </si>
  <si>
    <t>133.80274331479407</t>
  </si>
  <si>
    <t>Jarak Antar Tower (Skor 1-5)</t>
  </si>
  <si>
    <t>T104</t>
  </si>
  <si>
    <t>-0.8784715434253346</t>
  </si>
  <si>
    <t>Tutupan lahan (Skor 1-5)</t>
  </si>
  <si>
    <t>133.80054860450943</t>
  </si>
  <si>
    <t>Total Skor</t>
  </si>
  <si>
    <t>T105</t>
  </si>
  <si>
    <t>-0.8762440113996309</t>
  </si>
  <si>
    <t>133.79793882063893</t>
  </si>
  <si>
    <t>T106</t>
  </si>
  <si>
    <t>-0.8740189161464792</t>
  </si>
  <si>
    <t>133.7953326430832</t>
  </si>
  <si>
    <t>T107</t>
  </si>
  <si>
    <t>-0.8717019610618235</t>
  </si>
  <si>
    <t>133.7926190466876</t>
  </si>
  <si>
    <t>T108</t>
  </si>
  <si>
    <t>-0.8695558296736919</t>
  </si>
  <si>
    <t>133.79010558471887</t>
  </si>
  <si>
    <t>T109</t>
  </si>
  <si>
    <t>-0.8673244707534492</t>
  </si>
  <si>
    <t>133.78749112663718</t>
  </si>
  <si>
    <t>T110</t>
  </si>
  <si>
    <t>-0.8651048689228884</t>
  </si>
  <si>
    <t>133.78489162983664</t>
  </si>
  <si>
    <t>T111</t>
  </si>
  <si>
    <t>-0.8628770442165854</t>
  </si>
  <si>
    <t>133.78228209334821</t>
  </si>
  <si>
    <t>T112</t>
  </si>
  <si>
    <t>-0.8606512670035413</t>
  </si>
  <si>
    <t>133.77967491421512</t>
  </si>
  <si>
    <t>T113</t>
  </si>
  <si>
    <t>-0.8593728375735112</t>
  </si>
  <si>
    <t>133.77707778019567</t>
  </si>
  <si>
    <t>DATA HASIL CLUSTER</t>
  </si>
  <si>
    <t>Gueintuy</t>
  </si>
  <si>
    <t>Tutupan_Lahan_Encoded</t>
  </si>
  <si>
    <t>Jenis_Tower_Encoded</t>
  </si>
  <si>
    <t>Cluster</t>
  </si>
  <si>
    <t>Total Skor AHP</t>
  </si>
  <si>
    <t>Warmare</t>
  </si>
  <si>
    <t>hutan, jalan desa</t>
  </si>
  <si>
    <t>hutan, kebun sawit</t>
  </si>
  <si>
    <t>Aspek</t>
  </si>
  <si>
    <t>Cluster 0</t>
  </si>
  <si>
    <t>Cluster 1</t>
  </si>
  <si>
    <t>Jarak antar tower</t>
  </si>
  <si>
    <t>Stabil</t>
  </si>
  <si>
    <t>Terlalu pendek/panjang</t>
  </si>
  <si>
    <t>hutan, Jalan</t>
  </si>
  <si>
    <t>Elevasi</t>
  </si>
  <si>
    <t>Rendah - sedang</t>
  </si>
  <si>
    <t>Tinggi</t>
  </si>
  <si>
    <t>Jenis Tower</t>
  </si>
  <si>
    <t>Standar</t>
  </si>
  <si>
    <t>Spesifik</t>
  </si>
  <si>
    <t>Dominan rendah</t>
  </si>
  <si>
    <t>variatif - tinggi</t>
  </si>
  <si>
    <t>Akses</t>
  </si>
  <si>
    <t>hutan, sungai</t>
  </si>
  <si>
    <t>relatif mudah</t>
  </si>
  <si>
    <t>banyak yang sulit</t>
  </si>
  <si>
    <t>Umcen</t>
  </si>
  <si>
    <t>Risiko Desain</t>
  </si>
  <si>
    <t>rendah</t>
  </si>
  <si>
    <t>tinggi</t>
  </si>
  <si>
    <t>Madrat</t>
  </si>
  <si>
    <t>kebun sawit</t>
  </si>
  <si>
    <t>Hutan, Jalan desa</t>
  </si>
  <si>
    <t>Hutan, Kebun sawit</t>
  </si>
  <si>
    <t>kebun, lahan kosong</t>
  </si>
  <si>
    <t>Hutan, Jalan</t>
  </si>
  <si>
    <t>kebun, lahan kosong, jalan desa</t>
  </si>
  <si>
    <t>Meniy</t>
  </si>
  <si>
    <t>Pekarangan, Permukiman</t>
  </si>
  <si>
    <t>Subsay</t>
  </si>
  <si>
    <t>Kebun sawit</t>
  </si>
  <si>
    <t>Jalan desa, kebun sawit</t>
  </si>
  <si>
    <t>hutan,Jalan</t>
  </si>
  <si>
    <t>Kebun, Lahan kosong</t>
  </si>
  <si>
    <t>Cening/Sotea</t>
  </si>
  <si>
    <t>Kebun, Lahan kosong, Jalan desa</t>
  </si>
  <si>
    <t>Prafi Kampung / Indise</t>
  </si>
  <si>
    <t>Prafi</t>
  </si>
  <si>
    <t>Sungai</t>
  </si>
  <si>
    <t>DD</t>
  </si>
  <si>
    <t>Jalan desa, Kebun sawit</t>
  </si>
  <si>
    <t>Umbui</t>
  </si>
  <si>
    <t>kebun sawit, jalan provinsi</t>
  </si>
  <si>
    <t>Prafi Mulia</t>
  </si>
  <si>
    <t>Kebun sawit, Jalan provinsi</t>
  </si>
  <si>
    <t>hutan,kebun sawit</t>
  </si>
  <si>
    <t>Sawah</t>
  </si>
  <si>
    <t>Desay</t>
  </si>
  <si>
    <t>Lismaunggu</t>
  </si>
  <si>
    <t>Udap Ilir</t>
  </si>
  <si>
    <t>Kebun</t>
  </si>
  <si>
    <t>Sawah, Kebun</t>
  </si>
  <si>
    <t>Bogor</t>
  </si>
  <si>
    <t>Waseki</t>
  </si>
  <si>
    <t>Waseki Indah</t>
  </si>
  <si>
    <t>kebun</t>
  </si>
  <si>
    <t>sawah, kebun</t>
  </si>
  <si>
    <t>Lahan GI</t>
  </si>
  <si>
    <t>1.260.2</t>
  </si>
  <si>
    <t>Kebun Sawit</t>
  </si>
  <si>
    <t>KOMPARASI</t>
  </si>
  <si>
    <t>sesuai</t>
  </si>
  <si>
    <t>persentase</t>
  </si>
  <si>
    <t>tidak sesuai</t>
  </si>
  <si>
    <t>Pekarangan,Permukiman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</si>
</sst>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7">
    <font>
      <sz val="11.0"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ptos"/>
    </font>
    <font>
      <sz val="11.0"/>
      <color theme="1"/>
      <name val="Arial"/>
    </font>
    <font>
      <sz val="12.0"/>
      <color theme="1"/>
      <name val="Aptos"/>
    </font>
    <font>
      <sz val="11.0"/>
      <color theme="1"/>
      <name val="Calibri"/>
    </font>
    <font>
      <sz val="11.0"/>
      <color rgb="FF000000"/>
      <name val="Arial"/>
    </font>
    <font>
      <b/>
      <sz val="13.0"/>
      <color theme="1"/>
      <name val="Arial"/>
    </font>
    <font>
      <color rgb="FF000000"/>
      <name val="Arial"/>
    </font>
    <font>
      <sz val="11.0"/>
      <color rgb="FF000000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bottom"/>
    </xf>
    <xf borderId="1" fillId="0" fontId="3" numFmtId="0" xfId="0" applyBorder="1" applyFont="1"/>
    <xf borderId="0" fillId="0" fontId="4" numFmtId="0" xfId="0" applyFont="1"/>
    <xf borderId="1" fillId="0" fontId="5" numFmtId="0" xfId="0" applyBorder="1" applyFont="1"/>
    <xf borderId="1" fillId="0" fontId="5" numFmtId="0" xfId="0" applyAlignment="1" applyBorder="1" applyFont="1">
      <alignment vertical="center"/>
    </xf>
    <xf borderId="1" fillId="0" fontId="5" numFmtId="49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bottom"/>
    </xf>
    <xf borderId="1" fillId="0" fontId="5" numFmtId="3" xfId="0" applyAlignment="1" applyBorder="1" applyFont="1" applyNumberFormat="1">
      <alignment vertical="center"/>
    </xf>
    <xf borderId="1" fillId="0" fontId="1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8" numFmtId="0" xfId="0" applyAlignment="1" applyBorder="1" applyFont="1">
      <alignment vertical="bottom"/>
    </xf>
    <xf borderId="1" fillId="0" fontId="4" numFmtId="0" xfId="0" applyAlignment="1" applyBorder="1" applyFont="1">
      <alignment horizontal="right"/>
    </xf>
    <xf borderId="1" fillId="2" fontId="1" numFmtId="0" xfId="0" applyAlignment="1" applyBorder="1" applyFill="1" applyFont="1">
      <alignment vertical="center"/>
    </xf>
    <xf borderId="1" fillId="0" fontId="9" numFmtId="49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vertical="center"/>
    </xf>
    <xf borderId="1" fillId="3" fontId="2" numFmtId="0" xfId="0" applyAlignment="1" applyBorder="1" applyFont="1">
      <alignment vertical="bottom"/>
    </xf>
    <xf borderId="1" fillId="3" fontId="1" numFmtId="3" xfId="0" applyAlignment="1" applyBorder="1" applyFont="1" applyNumberFormat="1">
      <alignment vertical="center"/>
    </xf>
    <xf borderId="1" fillId="0" fontId="10" numFmtId="49" xfId="0" applyAlignment="1" applyBorder="1" applyFont="1" applyNumberFormat="1">
      <alignment horizontal="right" shrinkToFit="0" vertical="bottom" wrapText="0"/>
    </xf>
    <xf borderId="1" fillId="0" fontId="10" numFmtId="164" xfId="0" applyAlignment="1" applyBorder="1" applyFont="1" applyNumberFormat="1">
      <alignment horizontal="right" shrinkToFit="0" vertical="bottom" wrapText="0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11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right" vertical="bottom"/>
    </xf>
    <xf borderId="1" fillId="0" fontId="12" numFmtId="0" xfId="0" applyAlignment="1" applyBorder="1" applyFont="1">
      <alignment horizontal="right"/>
    </xf>
    <xf borderId="1" fillId="0" fontId="8" numFmtId="0" xfId="0" applyAlignment="1" applyBorder="1" applyFont="1">
      <alignment vertical="center"/>
    </xf>
    <xf borderId="1" fillId="0" fontId="13" numFmtId="49" xfId="0" applyAlignment="1" applyBorder="1" applyFont="1" applyNumberFormat="1">
      <alignment horizontal="right" shrinkToFit="0" vertical="bottom" wrapText="0"/>
    </xf>
    <xf borderId="0" fillId="4" fontId="1" numFmtId="0" xfId="0" applyFill="1" applyFont="1"/>
    <xf borderId="0" fillId="4" fontId="14" numFmtId="0" xfId="0" applyFont="1"/>
    <xf borderId="0" fillId="4" fontId="14" numFmtId="4" xfId="0" applyFont="1" applyNumberFormat="1"/>
    <xf borderId="0" fillId="0" fontId="14" numFmtId="0" xfId="0" applyFont="1"/>
    <xf borderId="1" fillId="5" fontId="14" numFmtId="0" xfId="0" applyBorder="1" applyFill="1" applyFont="1"/>
    <xf borderId="1" fillId="6" fontId="14" numFmtId="0" xfId="0" applyBorder="1" applyFill="1" applyFont="1"/>
    <xf borderId="1" fillId="7" fontId="14" numFmtId="0" xfId="0" applyBorder="1" applyFill="1" applyFont="1"/>
    <xf borderId="1" fillId="8" fontId="14" numFmtId="0" xfId="0" applyBorder="1" applyFill="1" applyFont="1"/>
    <xf borderId="1" fillId="9" fontId="14" numFmtId="0" xfId="0" applyBorder="1" applyFill="1" applyFont="1"/>
    <xf borderId="1" fillId="10" fontId="14" numFmtId="0" xfId="0" applyBorder="1" applyFill="1" applyFont="1"/>
    <xf borderId="1" fillId="11" fontId="14" numFmtId="4" xfId="0" applyBorder="1" applyFill="1" applyFont="1" applyNumberFormat="1"/>
    <xf borderId="1" fillId="11" fontId="14" numFmtId="0" xfId="0" applyBorder="1" applyFont="1"/>
    <xf borderId="1" fillId="12" fontId="14" numFmtId="0" xfId="0" applyBorder="1" applyFill="1" applyFont="1"/>
    <xf borderId="1" fillId="13" fontId="14" numFmtId="0" xfId="0" applyBorder="1" applyFill="1" applyFont="1"/>
    <xf borderId="1" fillId="0" fontId="14" numFmtId="0" xfId="0" applyBorder="1" applyFont="1"/>
    <xf borderId="1" fillId="0" fontId="7" numFmtId="0" xfId="0" applyAlignment="1" applyBorder="1" applyFont="1">
      <alignment horizontal="right"/>
    </xf>
    <xf borderId="1" fillId="0" fontId="5" numFmtId="4" xfId="0" applyAlignment="1" applyBorder="1" applyFont="1" applyNumberFormat="1">
      <alignment vertical="center"/>
    </xf>
    <xf borderId="1" fillId="0" fontId="9" numFmtId="0" xfId="0" applyBorder="1" applyFont="1"/>
    <xf borderId="0" fillId="4" fontId="15" numFmtId="0" xfId="0" applyAlignment="1" applyFont="1">
      <alignment shrinkToFit="0" vertical="bottom" wrapText="0"/>
    </xf>
    <xf borderId="0" fillId="4" fontId="16" numFmtId="0" xfId="0" applyAlignment="1" applyFont="1">
      <alignment shrinkToFit="0" vertical="bottom" wrapText="0"/>
    </xf>
    <xf borderId="2" fillId="5" fontId="16" numFmtId="0" xfId="0" applyAlignment="1" applyBorder="1" applyFont="1">
      <alignment shrinkToFit="0" vertical="bottom" wrapText="0"/>
    </xf>
    <xf borderId="2" fillId="4" fontId="16" numFmtId="0" xfId="0" applyAlignment="1" applyBorder="1" applyFont="1">
      <alignment shrinkToFit="0" vertical="bottom" wrapText="0"/>
    </xf>
    <xf borderId="1" fillId="0" fontId="10" numFmtId="4" xfId="0" applyAlignment="1" applyBorder="1" applyFont="1" applyNumberFormat="1">
      <alignment horizontal="right"/>
    </xf>
    <xf borderId="1" fillId="0" fontId="10" numFmtId="3" xfId="0" applyAlignment="1" applyBorder="1" applyFont="1" applyNumberFormat="1">
      <alignment horizontal="right"/>
    </xf>
    <xf borderId="1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4" numFmtId="2" xfId="0" applyFont="1" applyNumberFormat="1"/>
    <xf borderId="1" fillId="0" fontId="10" numFmtId="0" xfId="0" applyAlignment="1" applyBorder="1" applyFont="1">
      <alignment horizontal="right"/>
    </xf>
    <xf borderId="0" fillId="0" fontId="4" numFmtId="10" xfId="0" applyFont="1" applyNumberFormat="1"/>
    <xf borderId="1" fillId="0" fontId="9" numFmtId="2" xfId="0" applyBorder="1" applyFont="1" applyNumberFormat="1"/>
    <xf borderId="0" fillId="0" fontId="9" numFmtId="0" xfId="0" applyAlignment="1" applyFont="1">
      <alignment vertical="bottom"/>
    </xf>
    <xf borderId="0" fillId="0" fontId="4" numFmtId="0" xfId="0" applyAlignment="1" applyFont="1">
      <alignment horizontal="right"/>
    </xf>
    <xf borderId="0" fillId="0" fontId="4" numFmtId="1" xfId="0" applyFont="1" applyNumberFormat="1"/>
    <xf borderId="0" fillId="0" fontId="4" numFmtId="4" xfId="0" applyFont="1" applyNumberFormat="1"/>
    <xf borderId="0" fillId="0" fontId="9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4333875" cy="7277100"/>
    <xdr:pic>
      <xdr:nvPicPr>
        <xdr:cNvPr id="0" name="image2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4</xdr:row>
      <xdr:rowOff>76200</xdr:rowOff>
    </xdr:from>
    <xdr:ext cx="3486150" cy="136874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4.0"/>
    <col customWidth="1" min="3" max="3" width="18.38"/>
    <col customWidth="1" min="4" max="4" width="12.75"/>
    <col customWidth="1" min="5" max="5" width="26.38"/>
    <col customWidth="1" min="6" max="6" width="13.13"/>
    <col customWidth="1" min="7" max="7" width="13.63"/>
    <col customWidth="1" min="8" max="10" width="24.88"/>
    <col customWidth="1" min="11" max="11" width="21.5"/>
    <col customWidth="1" min="12" max="12" width="12.5"/>
    <col customWidth="1" min="13" max="13" width="13.75"/>
    <col customWidth="1" hidden="1" min="14" max="15" width="7.63"/>
    <col customWidth="1" min="16" max="16" width="7.63"/>
    <col customWidth="1" min="17" max="18" width="14.75"/>
    <col customWidth="1" min="19" max="19" width="16.0"/>
    <col customWidth="1" min="20" max="20" width="10.13"/>
    <col customWidth="1" min="21" max="21" width="11.25"/>
    <col customWidth="1" min="22" max="22" width="7.38"/>
    <col customWidth="1" min="23" max="25" width="7.63"/>
    <col customWidth="1" min="26" max="26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/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</row>
    <row r="2">
      <c r="A2" s="6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>
        <v>390235.655</v>
      </c>
      <c r="G2" s="7">
        <v>9896421.412</v>
      </c>
      <c r="H2" s="8" t="s">
        <v>28</v>
      </c>
      <c r="I2" s="5">
        <v>134.013493561028</v>
      </c>
      <c r="J2" s="10" t="s">
        <v>29</v>
      </c>
      <c r="K2" s="12">
        <v>14.59</v>
      </c>
      <c r="L2" s="12">
        <v>313.0</v>
      </c>
      <c r="M2" s="12">
        <v>76.0</v>
      </c>
      <c r="N2" s="14">
        <v>-5.6</v>
      </c>
      <c r="O2" s="5">
        <v>6.0</v>
      </c>
      <c r="P2" s="5">
        <f t="shared" ref="P2:P114" si="1">sum(K2,L2,M2,J2)</f>
        <v>403.59</v>
      </c>
      <c r="Q2" s="5" t="str">
        <f t="shared" ref="Q2:Q114" si="2">ROUND(J2/P2,2)</f>
        <v>#VALUE!</v>
      </c>
      <c r="R2" s="5">
        <f t="shared" ref="R2:R114" si="3">ROUND(L2/P2,2)</f>
        <v>0.78</v>
      </c>
      <c r="S2" s="5">
        <f t="shared" ref="S2:S114" si="4">ROUND(M2/P2,2)</f>
        <v>0.19</v>
      </c>
      <c r="T2" s="5">
        <f t="shared" ref="T2:T114" si="5">ROUND(K2/P2,2)</f>
        <v>0.04</v>
      </c>
      <c r="U2" s="5">
        <f t="shared" ref="U2:U114" si="6">0.169*R2</f>
        <v>0.13182</v>
      </c>
      <c r="W2" s="5">
        <f t="shared" ref="W2:W114" si="7">0.482*T2</f>
        <v>0.01928</v>
      </c>
      <c r="X2" s="5">
        <f t="shared" ref="X2:X114" si="8">0.125*S2</f>
        <v>0.02375</v>
      </c>
      <c r="Y2" s="5">
        <f t="shared" ref="Y2:Y114" si="9">ROUND(U2+V2+W2+X2,2)</f>
        <v>0.17</v>
      </c>
      <c r="Z2" s="5">
        <f t="shared" ref="Z2:Z114" si="10">IF(Y2&gt;=0.18,1,0)</f>
        <v>0</v>
      </c>
    </row>
    <row r="3">
      <c r="A3" s="6" t="s">
        <v>37</v>
      </c>
      <c r="B3" s="7" t="s">
        <v>24</v>
      </c>
      <c r="C3" s="7" t="s">
        <v>25</v>
      </c>
      <c r="D3" s="7" t="s">
        <v>26</v>
      </c>
      <c r="E3" s="7" t="s">
        <v>27</v>
      </c>
      <c r="F3" s="7">
        <v>390009.232</v>
      </c>
      <c r="G3" s="7">
        <v>9896287.332</v>
      </c>
      <c r="H3" s="20" t="s">
        <v>38</v>
      </c>
      <c r="I3" s="20" t="s">
        <v>39</v>
      </c>
      <c r="J3" s="21">
        <v>263.179</v>
      </c>
      <c r="K3" s="12">
        <v>20.0</v>
      </c>
      <c r="L3" s="12">
        <v>114.0</v>
      </c>
      <c r="M3" s="12">
        <v>320.0</v>
      </c>
      <c r="N3" s="22">
        <v>-5.0</v>
      </c>
      <c r="O3" s="23">
        <v>7.0</v>
      </c>
      <c r="P3" s="5">
        <f t="shared" si="1"/>
        <v>717.179</v>
      </c>
      <c r="Q3" s="5">
        <f t="shared" si="2"/>
        <v>0.37</v>
      </c>
      <c r="R3" s="5">
        <f t="shared" si="3"/>
        <v>0.16</v>
      </c>
      <c r="S3" s="5">
        <f t="shared" si="4"/>
        <v>0.45</v>
      </c>
      <c r="T3" s="5">
        <f t="shared" si="5"/>
        <v>0.03</v>
      </c>
      <c r="U3" s="5">
        <f t="shared" si="6"/>
        <v>0.02704</v>
      </c>
      <c r="V3" s="5">
        <f t="shared" ref="V3:V114" si="11">0.224*Q3</f>
        <v>0.08288</v>
      </c>
      <c r="W3" s="5">
        <f t="shared" si="7"/>
        <v>0.01446</v>
      </c>
      <c r="X3" s="5">
        <f t="shared" si="8"/>
        <v>0.05625</v>
      </c>
      <c r="Y3" s="5">
        <f t="shared" si="9"/>
        <v>0.18</v>
      </c>
      <c r="Z3" s="5">
        <f t="shared" si="10"/>
        <v>1</v>
      </c>
    </row>
    <row r="4">
      <c r="A4" s="6" t="s">
        <v>41</v>
      </c>
      <c r="B4" s="7" t="s">
        <v>24</v>
      </c>
      <c r="C4" s="7" t="s">
        <v>25</v>
      </c>
      <c r="D4" s="7" t="s">
        <v>26</v>
      </c>
      <c r="E4" s="7" t="s">
        <v>123</v>
      </c>
      <c r="F4" s="7">
        <v>389643.126</v>
      </c>
      <c r="G4" s="7">
        <v>9896195.618</v>
      </c>
      <c r="H4" s="20" t="s">
        <v>42</v>
      </c>
      <c r="I4" s="20" t="s">
        <v>43</v>
      </c>
      <c r="J4" s="21">
        <v>377.359</v>
      </c>
      <c r="K4" s="12">
        <v>6.0</v>
      </c>
      <c r="L4" s="12">
        <v>18.0</v>
      </c>
      <c r="M4" s="12">
        <v>456.0</v>
      </c>
      <c r="N4" s="22">
        <v>-3.4</v>
      </c>
      <c r="O4" s="5">
        <v>8.0</v>
      </c>
      <c r="P4" s="5">
        <f t="shared" si="1"/>
        <v>857.359</v>
      </c>
      <c r="Q4" s="5">
        <f t="shared" si="2"/>
        <v>0.44</v>
      </c>
      <c r="R4" s="5">
        <f t="shared" si="3"/>
        <v>0.02</v>
      </c>
      <c r="S4" s="5">
        <f t="shared" si="4"/>
        <v>0.53</v>
      </c>
      <c r="T4" s="5">
        <f t="shared" si="5"/>
        <v>0.01</v>
      </c>
      <c r="U4" s="5">
        <f t="shared" si="6"/>
        <v>0.00338</v>
      </c>
      <c r="V4" s="5">
        <f t="shared" si="11"/>
        <v>0.09856</v>
      </c>
      <c r="W4" s="5">
        <f t="shared" si="7"/>
        <v>0.00482</v>
      </c>
      <c r="X4" s="5">
        <f t="shared" si="8"/>
        <v>0.06625</v>
      </c>
      <c r="Y4" s="5">
        <f t="shared" si="9"/>
        <v>0.17</v>
      </c>
      <c r="Z4" s="5">
        <f t="shared" si="10"/>
        <v>0</v>
      </c>
    </row>
    <row r="5">
      <c r="A5" s="6" t="s">
        <v>44</v>
      </c>
      <c r="B5" s="7" t="s">
        <v>136</v>
      </c>
      <c r="C5" s="7" t="s">
        <v>25</v>
      </c>
      <c r="D5" s="7" t="s">
        <v>26</v>
      </c>
      <c r="E5" s="7" t="s">
        <v>123</v>
      </c>
      <c r="F5" s="7">
        <v>389358.174</v>
      </c>
      <c r="G5" s="7">
        <v>9895901.453</v>
      </c>
      <c r="H5" s="20" t="s">
        <v>45</v>
      </c>
      <c r="I5" s="20" t="s">
        <v>47</v>
      </c>
      <c r="J5" s="21">
        <v>409.519</v>
      </c>
      <c r="K5" s="12">
        <v>11.0</v>
      </c>
      <c r="L5" s="12">
        <v>116.0</v>
      </c>
      <c r="M5" s="12">
        <v>746.0</v>
      </c>
      <c r="N5" s="22">
        <v>-6.6</v>
      </c>
      <c r="O5" s="23">
        <v>9.0</v>
      </c>
      <c r="P5" s="5">
        <f t="shared" si="1"/>
        <v>1282.519</v>
      </c>
      <c r="Q5" s="5">
        <f t="shared" si="2"/>
        <v>0.32</v>
      </c>
      <c r="R5" s="5">
        <f t="shared" si="3"/>
        <v>0.09</v>
      </c>
      <c r="S5" s="5">
        <f t="shared" si="4"/>
        <v>0.58</v>
      </c>
      <c r="T5" s="5">
        <f t="shared" si="5"/>
        <v>0.01</v>
      </c>
      <c r="U5" s="5">
        <f t="shared" si="6"/>
        <v>0.01521</v>
      </c>
      <c r="V5" s="5">
        <f t="shared" si="11"/>
        <v>0.07168</v>
      </c>
      <c r="W5" s="5">
        <f t="shared" si="7"/>
        <v>0.00482</v>
      </c>
      <c r="X5" s="5">
        <f t="shared" si="8"/>
        <v>0.0725</v>
      </c>
      <c r="Y5" s="5">
        <f t="shared" si="9"/>
        <v>0.16</v>
      </c>
      <c r="Z5" s="5">
        <f t="shared" si="10"/>
        <v>0</v>
      </c>
    </row>
    <row r="6">
      <c r="A6" s="6" t="s">
        <v>48</v>
      </c>
      <c r="B6" s="7" t="s">
        <v>136</v>
      </c>
      <c r="C6" s="7" t="s">
        <v>25</v>
      </c>
      <c r="D6" s="7" t="s">
        <v>26</v>
      </c>
      <c r="E6" s="7" t="s">
        <v>168</v>
      </c>
      <c r="F6" s="7">
        <v>389020.532</v>
      </c>
      <c r="G6" s="7">
        <v>9895701.355</v>
      </c>
      <c r="H6" s="20" t="s">
        <v>50</v>
      </c>
      <c r="I6" s="20" t="s">
        <v>51</v>
      </c>
      <c r="J6" s="21">
        <v>392.553</v>
      </c>
      <c r="K6" s="26">
        <v>9.97</v>
      </c>
      <c r="L6" s="26">
        <v>13.79</v>
      </c>
      <c r="M6" s="22">
        <v>735.0</v>
      </c>
      <c r="N6" s="22">
        <v>-5.8</v>
      </c>
      <c r="O6" s="5">
        <v>10.0</v>
      </c>
      <c r="P6" s="5">
        <f t="shared" si="1"/>
        <v>1151.313</v>
      </c>
      <c r="Q6" s="5">
        <f t="shared" si="2"/>
        <v>0.34</v>
      </c>
      <c r="R6" s="5">
        <f t="shared" si="3"/>
        <v>0.01</v>
      </c>
      <c r="S6" s="5">
        <f t="shared" si="4"/>
        <v>0.64</v>
      </c>
      <c r="T6" s="5">
        <f t="shared" si="5"/>
        <v>0.01</v>
      </c>
      <c r="U6" s="5">
        <f t="shared" si="6"/>
        <v>0.00169</v>
      </c>
      <c r="V6" s="5">
        <f t="shared" si="11"/>
        <v>0.07616</v>
      </c>
      <c r="W6" s="5">
        <f t="shared" si="7"/>
        <v>0.00482</v>
      </c>
      <c r="X6" s="5">
        <f t="shared" si="8"/>
        <v>0.08</v>
      </c>
      <c r="Y6" s="5">
        <f t="shared" si="9"/>
        <v>0.16</v>
      </c>
      <c r="Z6" s="5">
        <f t="shared" si="10"/>
        <v>0</v>
      </c>
    </row>
    <row r="7">
      <c r="A7" s="6" t="s">
        <v>52</v>
      </c>
      <c r="B7" s="7" t="s">
        <v>136</v>
      </c>
      <c r="C7" s="7" t="s">
        <v>25</v>
      </c>
      <c r="D7" s="7" t="s">
        <v>26</v>
      </c>
      <c r="E7" s="7" t="s">
        <v>27</v>
      </c>
      <c r="F7" s="7">
        <v>388759.173</v>
      </c>
      <c r="G7" s="7">
        <v>9895546.512</v>
      </c>
      <c r="H7" s="20" t="s">
        <v>53</v>
      </c>
      <c r="I7" s="20" t="s">
        <v>54</v>
      </c>
      <c r="J7" s="21">
        <v>303.757</v>
      </c>
      <c r="K7" s="26">
        <v>22.08</v>
      </c>
      <c r="L7" s="26">
        <v>46.14</v>
      </c>
      <c r="M7" s="22">
        <v>435.0</v>
      </c>
      <c r="N7" s="22">
        <v>-4.4</v>
      </c>
      <c r="O7" s="23">
        <v>11.0</v>
      </c>
      <c r="P7" s="5">
        <f t="shared" si="1"/>
        <v>806.977</v>
      </c>
      <c r="Q7" s="5">
        <f t="shared" si="2"/>
        <v>0.38</v>
      </c>
      <c r="R7" s="5">
        <f t="shared" si="3"/>
        <v>0.06</v>
      </c>
      <c r="S7" s="5">
        <f t="shared" si="4"/>
        <v>0.54</v>
      </c>
      <c r="T7" s="5">
        <f t="shared" si="5"/>
        <v>0.03</v>
      </c>
      <c r="U7" s="5">
        <f t="shared" si="6"/>
        <v>0.01014</v>
      </c>
      <c r="V7" s="5">
        <f t="shared" si="11"/>
        <v>0.08512</v>
      </c>
      <c r="W7" s="5">
        <f t="shared" si="7"/>
        <v>0.01446</v>
      </c>
      <c r="X7" s="5">
        <f t="shared" si="8"/>
        <v>0.0675</v>
      </c>
      <c r="Y7" s="5">
        <f t="shared" si="9"/>
        <v>0.18</v>
      </c>
      <c r="Z7" s="5">
        <f t="shared" si="10"/>
        <v>1</v>
      </c>
    </row>
    <row r="8">
      <c r="A8" s="6" t="s">
        <v>55</v>
      </c>
      <c r="B8" s="7" t="s">
        <v>136</v>
      </c>
      <c r="C8" s="7" t="s">
        <v>25</v>
      </c>
      <c r="D8" s="7" t="s">
        <v>26</v>
      </c>
      <c r="E8" s="7" t="s">
        <v>217</v>
      </c>
      <c r="F8" s="7">
        <v>388508.463</v>
      </c>
      <c r="G8" s="7">
        <v>9895397.884</v>
      </c>
      <c r="H8" s="20" t="s">
        <v>56</v>
      </c>
      <c r="I8" s="20" t="s">
        <v>57</v>
      </c>
      <c r="J8" s="21">
        <v>291.45</v>
      </c>
      <c r="K8" s="26">
        <v>16.5</v>
      </c>
      <c r="L8" s="26">
        <v>165.0</v>
      </c>
      <c r="M8" s="14">
        <v>153.0</v>
      </c>
      <c r="N8" s="14">
        <v>-4.0</v>
      </c>
      <c r="O8" s="5">
        <v>12.0</v>
      </c>
      <c r="P8" s="5">
        <f t="shared" si="1"/>
        <v>625.95</v>
      </c>
      <c r="Q8" s="5">
        <f t="shared" si="2"/>
        <v>0.47</v>
      </c>
      <c r="R8" s="5">
        <f t="shared" si="3"/>
        <v>0.26</v>
      </c>
      <c r="S8" s="5">
        <f t="shared" si="4"/>
        <v>0.24</v>
      </c>
      <c r="T8" s="5">
        <f t="shared" si="5"/>
        <v>0.03</v>
      </c>
      <c r="U8" s="5">
        <f t="shared" si="6"/>
        <v>0.04394</v>
      </c>
      <c r="V8" s="5">
        <f t="shared" si="11"/>
        <v>0.10528</v>
      </c>
      <c r="W8" s="5">
        <f t="shared" si="7"/>
        <v>0.01446</v>
      </c>
      <c r="X8" s="5">
        <f t="shared" si="8"/>
        <v>0.03</v>
      </c>
      <c r="Y8" s="5">
        <f t="shared" si="9"/>
        <v>0.19</v>
      </c>
      <c r="Z8" s="5">
        <f t="shared" si="10"/>
        <v>1</v>
      </c>
    </row>
    <row r="9">
      <c r="A9" s="6" t="s">
        <v>58</v>
      </c>
      <c r="B9" s="7" t="s">
        <v>136</v>
      </c>
      <c r="C9" s="7" t="s">
        <v>25</v>
      </c>
      <c r="D9" s="7" t="s">
        <v>26</v>
      </c>
      <c r="E9" s="7" t="s">
        <v>232</v>
      </c>
      <c r="F9" s="7">
        <v>388253.886</v>
      </c>
      <c r="G9" s="7">
        <v>9895253.344</v>
      </c>
      <c r="H9" s="20" t="s">
        <v>59</v>
      </c>
      <c r="I9" s="20" t="s">
        <v>60</v>
      </c>
      <c r="J9" s="21">
        <v>292.746</v>
      </c>
      <c r="K9" s="26">
        <v>19.72</v>
      </c>
      <c r="L9" s="26">
        <v>90.0</v>
      </c>
      <c r="M9" s="14">
        <v>75.05</v>
      </c>
      <c r="N9" s="14">
        <v>-2.4</v>
      </c>
      <c r="O9" s="23">
        <v>13.0</v>
      </c>
      <c r="P9" s="5">
        <f t="shared" si="1"/>
        <v>477.516</v>
      </c>
      <c r="Q9" s="5">
        <f t="shared" si="2"/>
        <v>0.61</v>
      </c>
      <c r="R9" s="5">
        <f t="shared" si="3"/>
        <v>0.19</v>
      </c>
      <c r="S9" s="5">
        <f t="shared" si="4"/>
        <v>0.16</v>
      </c>
      <c r="T9" s="5">
        <f t="shared" si="5"/>
        <v>0.04</v>
      </c>
      <c r="U9" s="5">
        <f t="shared" si="6"/>
        <v>0.03211</v>
      </c>
      <c r="V9" s="5">
        <f t="shared" si="11"/>
        <v>0.13664</v>
      </c>
      <c r="W9" s="5">
        <f t="shared" si="7"/>
        <v>0.01928</v>
      </c>
      <c r="X9" s="5">
        <f t="shared" si="8"/>
        <v>0.02</v>
      </c>
      <c r="Y9" s="5">
        <f t="shared" si="9"/>
        <v>0.21</v>
      </c>
      <c r="Z9" s="5">
        <f t="shared" si="10"/>
        <v>1</v>
      </c>
    </row>
    <row r="10">
      <c r="A10" s="6" t="s">
        <v>61</v>
      </c>
      <c r="B10" s="7" t="s">
        <v>244</v>
      </c>
      <c r="C10" s="7" t="s">
        <v>25</v>
      </c>
      <c r="D10" s="7" t="s">
        <v>26</v>
      </c>
      <c r="E10" s="7" t="s">
        <v>284</v>
      </c>
      <c r="F10" s="7">
        <v>388133.137</v>
      </c>
      <c r="G10" s="7">
        <v>9895003.639</v>
      </c>
      <c r="H10" s="20" t="s">
        <v>62</v>
      </c>
      <c r="I10" s="20" t="s">
        <v>63</v>
      </c>
      <c r="J10" s="21">
        <v>276.847</v>
      </c>
      <c r="K10" s="26">
        <v>18.73</v>
      </c>
      <c r="L10" s="26">
        <v>48.99</v>
      </c>
      <c r="M10" s="14">
        <v>35.62</v>
      </c>
      <c r="N10" s="14">
        <v>-2.2</v>
      </c>
      <c r="O10" s="5">
        <v>14.0</v>
      </c>
      <c r="P10" s="5">
        <f t="shared" si="1"/>
        <v>380.187</v>
      </c>
      <c r="Q10" s="5">
        <f t="shared" si="2"/>
        <v>0.73</v>
      </c>
      <c r="R10" s="5">
        <f t="shared" si="3"/>
        <v>0.13</v>
      </c>
      <c r="S10" s="5">
        <f t="shared" si="4"/>
        <v>0.09</v>
      </c>
      <c r="T10" s="5">
        <f t="shared" si="5"/>
        <v>0.05</v>
      </c>
      <c r="U10" s="5">
        <f t="shared" si="6"/>
        <v>0.02197</v>
      </c>
      <c r="V10" s="5">
        <f t="shared" si="11"/>
        <v>0.16352</v>
      </c>
      <c r="W10" s="5">
        <f t="shared" si="7"/>
        <v>0.0241</v>
      </c>
      <c r="X10" s="5">
        <f t="shared" si="8"/>
        <v>0.01125</v>
      </c>
      <c r="Y10" s="5">
        <f t="shared" si="9"/>
        <v>0.22</v>
      </c>
      <c r="Z10" s="5">
        <f t="shared" si="10"/>
        <v>1</v>
      </c>
    </row>
    <row r="11">
      <c r="A11" s="6" t="s">
        <v>64</v>
      </c>
      <c r="B11" s="7" t="s">
        <v>244</v>
      </c>
      <c r="C11" s="7" t="s">
        <v>25</v>
      </c>
      <c r="D11" s="7" t="s">
        <v>26</v>
      </c>
      <c r="E11" s="7" t="s">
        <v>123</v>
      </c>
      <c r="F11" s="7">
        <v>388421.411</v>
      </c>
      <c r="G11" s="7">
        <v>9894740.272</v>
      </c>
      <c r="H11" s="20" t="s">
        <v>65</v>
      </c>
      <c r="I11" s="20" t="s">
        <v>66</v>
      </c>
      <c r="J11" s="21">
        <v>390.764</v>
      </c>
      <c r="K11" s="26">
        <v>18.06</v>
      </c>
      <c r="L11" s="26">
        <v>32.25</v>
      </c>
      <c r="M11" s="14">
        <v>29.55</v>
      </c>
      <c r="N11" s="14">
        <v>-2.6</v>
      </c>
      <c r="O11" s="23">
        <v>15.0</v>
      </c>
      <c r="P11" s="5">
        <f t="shared" si="1"/>
        <v>470.624</v>
      </c>
      <c r="Q11" s="5">
        <f t="shared" si="2"/>
        <v>0.83</v>
      </c>
      <c r="R11" s="5">
        <f t="shared" si="3"/>
        <v>0.07</v>
      </c>
      <c r="S11" s="5">
        <f t="shared" si="4"/>
        <v>0.06</v>
      </c>
      <c r="T11" s="5">
        <f t="shared" si="5"/>
        <v>0.04</v>
      </c>
      <c r="U11" s="5">
        <f t="shared" si="6"/>
        <v>0.01183</v>
      </c>
      <c r="V11" s="5">
        <f t="shared" si="11"/>
        <v>0.18592</v>
      </c>
      <c r="W11" s="5">
        <f t="shared" si="7"/>
        <v>0.01928</v>
      </c>
      <c r="X11" s="5">
        <f t="shared" si="8"/>
        <v>0.0075</v>
      </c>
      <c r="Y11" s="5">
        <f t="shared" si="9"/>
        <v>0.22</v>
      </c>
      <c r="Z11" s="5">
        <f t="shared" si="10"/>
        <v>1</v>
      </c>
    </row>
    <row r="12">
      <c r="A12" s="6" t="s">
        <v>67</v>
      </c>
      <c r="B12" s="7" t="s">
        <v>24</v>
      </c>
      <c r="C12" s="7" t="s">
        <v>25</v>
      </c>
      <c r="D12" s="7" t="s">
        <v>26</v>
      </c>
      <c r="E12" s="7" t="s">
        <v>123</v>
      </c>
      <c r="F12" s="7">
        <v>388729.484</v>
      </c>
      <c r="G12" s="7">
        <v>9894471.967</v>
      </c>
      <c r="H12" s="20" t="s">
        <v>68</v>
      </c>
      <c r="I12" s="20" t="s">
        <v>69</v>
      </c>
      <c r="J12" s="21">
        <v>408.53</v>
      </c>
      <c r="K12" s="26">
        <v>16.77</v>
      </c>
      <c r="L12" s="26">
        <v>10.23</v>
      </c>
      <c r="M12" s="14">
        <v>108.0</v>
      </c>
      <c r="N12" s="14">
        <v>-2.0</v>
      </c>
      <c r="O12" s="5">
        <v>16.0</v>
      </c>
      <c r="P12" s="5">
        <f t="shared" si="1"/>
        <v>543.53</v>
      </c>
      <c r="Q12" s="5">
        <f t="shared" si="2"/>
        <v>0.75</v>
      </c>
      <c r="R12" s="5">
        <f t="shared" si="3"/>
        <v>0.02</v>
      </c>
      <c r="S12" s="5">
        <f t="shared" si="4"/>
        <v>0.2</v>
      </c>
      <c r="T12" s="5">
        <f t="shared" si="5"/>
        <v>0.03</v>
      </c>
      <c r="U12" s="5">
        <f t="shared" si="6"/>
        <v>0.00338</v>
      </c>
      <c r="V12" s="5">
        <f t="shared" si="11"/>
        <v>0.168</v>
      </c>
      <c r="W12" s="5">
        <f t="shared" si="7"/>
        <v>0.01446</v>
      </c>
      <c r="X12" s="5">
        <f t="shared" si="8"/>
        <v>0.025</v>
      </c>
      <c r="Y12" s="5">
        <f t="shared" si="9"/>
        <v>0.21</v>
      </c>
      <c r="Z12" s="5">
        <f t="shared" si="10"/>
        <v>1</v>
      </c>
    </row>
    <row r="13">
      <c r="A13" s="6" t="s">
        <v>70</v>
      </c>
      <c r="B13" s="7" t="s">
        <v>24</v>
      </c>
      <c r="C13" s="7" t="s">
        <v>25</v>
      </c>
      <c r="D13" s="7" t="s">
        <v>26</v>
      </c>
      <c r="E13" s="7" t="s">
        <v>123</v>
      </c>
      <c r="F13" s="7">
        <v>388862.651</v>
      </c>
      <c r="G13" s="7">
        <v>9894186.478</v>
      </c>
      <c r="H13" s="20" t="s">
        <v>71</v>
      </c>
      <c r="I13" s="20" t="s">
        <v>72</v>
      </c>
      <c r="J13" s="21">
        <v>315.062</v>
      </c>
      <c r="K13" s="26">
        <v>24.83</v>
      </c>
      <c r="L13" s="26">
        <v>17.35</v>
      </c>
      <c r="M13" s="14">
        <v>112.0</v>
      </c>
      <c r="N13" s="14"/>
      <c r="O13" s="23">
        <v>17.0</v>
      </c>
      <c r="P13" s="5">
        <f t="shared" si="1"/>
        <v>469.242</v>
      </c>
      <c r="Q13" s="5">
        <f t="shared" si="2"/>
        <v>0.67</v>
      </c>
      <c r="R13" s="5">
        <f t="shared" si="3"/>
        <v>0.04</v>
      </c>
      <c r="S13" s="5">
        <f t="shared" si="4"/>
        <v>0.24</v>
      </c>
      <c r="T13" s="5">
        <f t="shared" si="5"/>
        <v>0.05</v>
      </c>
      <c r="U13" s="5">
        <f t="shared" si="6"/>
        <v>0.00676</v>
      </c>
      <c r="V13" s="5">
        <f t="shared" si="11"/>
        <v>0.15008</v>
      </c>
      <c r="W13" s="5">
        <f t="shared" si="7"/>
        <v>0.0241</v>
      </c>
      <c r="X13" s="5">
        <f t="shared" si="8"/>
        <v>0.03</v>
      </c>
      <c r="Y13" s="5">
        <f t="shared" si="9"/>
        <v>0.21</v>
      </c>
      <c r="Z13" s="5">
        <f t="shared" si="10"/>
        <v>1</v>
      </c>
    </row>
    <row r="14">
      <c r="A14" s="6" t="s">
        <v>73</v>
      </c>
      <c r="B14" s="7" t="s">
        <v>325</v>
      </c>
      <c r="C14" s="7" t="s">
        <v>25</v>
      </c>
      <c r="D14" s="7" t="s">
        <v>26</v>
      </c>
      <c r="E14" s="7" t="s">
        <v>332</v>
      </c>
      <c r="F14" s="7">
        <v>388924.689</v>
      </c>
      <c r="G14" s="7">
        <v>9894002.038</v>
      </c>
      <c r="H14" s="20" t="s">
        <v>74</v>
      </c>
      <c r="I14" s="20" t="s">
        <v>75</v>
      </c>
      <c r="J14" s="21">
        <v>194.55</v>
      </c>
      <c r="K14" s="26">
        <v>60.08</v>
      </c>
      <c r="L14" s="26">
        <v>140.78</v>
      </c>
      <c r="M14" s="14">
        <v>310.0</v>
      </c>
      <c r="N14" s="14">
        <v>-0.8</v>
      </c>
      <c r="O14" s="5">
        <v>18.0</v>
      </c>
      <c r="P14" s="5">
        <f t="shared" si="1"/>
        <v>705.41</v>
      </c>
      <c r="Q14" s="5">
        <f t="shared" si="2"/>
        <v>0.28</v>
      </c>
      <c r="R14" s="5">
        <f t="shared" si="3"/>
        <v>0.2</v>
      </c>
      <c r="S14" s="5">
        <f t="shared" si="4"/>
        <v>0.44</v>
      </c>
      <c r="T14" s="5">
        <f t="shared" si="5"/>
        <v>0.09</v>
      </c>
      <c r="U14" s="5">
        <f t="shared" si="6"/>
        <v>0.0338</v>
      </c>
      <c r="V14" s="5">
        <f t="shared" si="11"/>
        <v>0.06272</v>
      </c>
      <c r="W14" s="5">
        <f t="shared" si="7"/>
        <v>0.04338</v>
      </c>
      <c r="X14" s="5">
        <f t="shared" si="8"/>
        <v>0.055</v>
      </c>
      <c r="Y14" s="5">
        <f t="shared" si="9"/>
        <v>0.19</v>
      </c>
      <c r="Z14" s="5">
        <f t="shared" si="10"/>
        <v>1</v>
      </c>
    </row>
    <row r="15">
      <c r="A15" s="6" t="s">
        <v>76</v>
      </c>
      <c r="B15" s="7" t="s">
        <v>325</v>
      </c>
      <c r="C15" s="7" t="s">
        <v>25</v>
      </c>
      <c r="D15" s="7" t="s">
        <v>26</v>
      </c>
      <c r="E15" s="7" t="s">
        <v>332</v>
      </c>
      <c r="F15" s="7">
        <v>388919.739</v>
      </c>
      <c r="G15" s="7">
        <v>9893665.934</v>
      </c>
      <c r="H15" s="20" t="s">
        <v>77</v>
      </c>
      <c r="I15" s="20" t="s">
        <v>78</v>
      </c>
      <c r="J15" s="21">
        <v>336.161</v>
      </c>
      <c r="K15" s="26">
        <v>131.9</v>
      </c>
      <c r="L15" s="26">
        <v>284.32</v>
      </c>
      <c r="M15" s="14">
        <v>635.44</v>
      </c>
      <c r="N15" s="14">
        <v>-0.6</v>
      </c>
      <c r="O15" s="23">
        <v>19.0</v>
      </c>
      <c r="P15" s="5">
        <f t="shared" si="1"/>
        <v>1387.821</v>
      </c>
      <c r="Q15" s="5">
        <f t="shared" si="2"/>
        <v>0.24</v>
      </c>
      <c r="R15" s="5">
        <f t="shared" si="3"/>
        <v>0.2</v>
      </c>
      <c r="S15" s="5">
        <f t="shared" si="4"/>
        <v>0.46</v>
      </c>
      <c r="T15" s="5">
        <f t="shared" si="5"/>
        <v>0.1</v>
      </c>
      <c r="U15" s="5">
        <f t="shared" si="6"/>
        <v>0.0338</v>
      </c>
      <c r="V15" s="5">
        <f t="shared" si="11"/>
        <v>0.05376</v>
      </c>
      <c r="W15" s="5">
        <f t="shared" si="7"/>
        <v>0.0482</v>
      </c>
      <c r="X15" s="5">
        <f t="shared" si="8"/>
        <v>0.0575</v>
      </c>
      <c r="Y15" s="5">
        <f t="shared" si="9"/>
        <v>0.19</v>
      </c>
      <c r="Z15" s="5">
        <f t="shared" si="10"/>
        <v>1</v>
      </c>
    </row>
    <row r="16">
      <c r="A16" s="6" t="s">
        <v>79</v>
      </c>
      <c r="B16" s="7" t="s">
        <v>325</v>
      </c>
      <c r="C16" s="7" t="s">
        <v>25</v>
      </c>
      <c r="D16" s="7" t="s">
        <v>26</v>
      </c>
      <c r="E16" s="7" t="s">
        <v>332</v>
      </c>
      <c r="F16" s="7">
        <v>388920.117</v>
      </c>
      <c r="G16" s="7">
        <v>9893410.859</v>
      </c>
      <c r="H16" s="20" t="s">
        <v>80</v>
      </c>
      <c r="I16" s="20" t="s">
        <v>81</v>
      </c>
      <c r="J16" s="21">
        <v>255.059</v>
      </c>
      <c r="K16" s="26">
        <v>150.26</v>
      </c>
      <c r="L16" s="26">
        <v>400.31</v>
      </c>
      <c r="M16" s="14">
        <v>883.78</v>
      </c>
      <c r="N16" s="14">
        <v>-0.6</v>
      </c>
      <c r="O16" s="5">
        <v>20.0</v>
      </c>
      <c r="P16" s="5">
        <f t="shared" si="1"/>
        <v>1689.409</v>
      </c>
      <c r="Q16" s="5">
        <f t="shared" si="2"/>
        <v>0.15</v>
      </c>
      <c r="R16" s="5">
        <f t="shared" si="3"/>
        <v>0.24</v>
      </c>
      <c r="S16" s="5">
        <f t="shared" si="4"/>
        <v>0.52</v>
      </c>
      <c r="T16" s="5">
        <f t="shared" si="5"/>
        <v>0.09</v>
      </c>
      <c r="U16" s="5">
        <f t="shared" si="6"/>
        <v>0.04056</v>
      </c>
      <c r="V16" s="5">
        <f t="shared" si="11"/>
        <v>0.0336</v>
      </c>
      <c r="W16" s="5">
        <f t="shared" si="7"/>
        <v>0.04338</v>
      </c>
      <c r="X16" s="5">
        <f t="shared" si="8"/>
        <v>0.065</v>
      </c>
      <c r="Y16" s="5">
        <f t="shared" si="9"/>
        <v>0.18</v>
      </c>
      <c r="Z16" s="5">
        <f t="shared" si="10"/>
        <v>1</v>
      </c>
    </row>
    <row r="17">
      <c r="A17" s="6" t="s">
        <v>82</v>
      </c>
      <c r="B17" s="7" t="s">
        <v>325</v>
      </c>
      <c r="C17" s="7" t="s">
        <v>25</v>
      </c>
      <c r="D17" s="7" t="s">
        <v>26</v>
      </c>
      <c r="E17" s="7" t="s">
        <v>332</v>
      </c>
      <c r="F17" s="7">
        <v>388856.204</v>
      </c>
      <c r="G17" s="7">
        <v>9892963.003</v>
      </c>
      <c r="H17" s="20" t="s">
        <v>83</v>
      </c>
      <c r="I17" s="20" t="s">
        <v>84</v>
      </c>
      <c r="J17" s="21">
        <v>452.328</v>
      </c>
      <c r="K17" s="26">
        <v>179.82</v>
      </c>
      <c r="L17" s="26">
        <v>1095.0</v>
      </c>
      <c r="M17" s="14">
        <v>1511.0</v>
      </c>
      <c r="N17" s="14">
        <v>-0.5</v>
      </c>
      <c r="O17" s="23">
        <v>21.0</v>
      </c>
      <c r="P17" s="5">
        <f t="shared" si="1"/>
        <v>3238.148</v>
      </c>
      <c r="Q17" s="5">
        <f t="shared" si="2"/>
        <v>0.14</v>
      </c>
      <c r="R17" s="5">
        <f t="shared" si="3"/>
        <v>0.34</v>
      </c>
      <c r="S17" s="5">
        <f t="shared" si="4"/>
        <v>0.47</v>
      </c>
      <c r="T17" s="5">
        <f t="shared" si="5"/>
        <v>0.06</v>
      </c>
      <c r="U17" s="5">
        <f t="shared" si="6"/>
        <v>0.05746</v>
      </c>
      <c r="V17" s="5">
        <f t="shared" si="11"/>
        <v>0.03136</v>
      </c>
      <c r="W17" s="5">
        <f t="shared" si="7"/>
        <v>0.02892</v>
      </c>
      <c r="X17" s="5">
        <f t="shared" si="8"/>
        <v>0.05875</v>
      </c>
      <c r="Y17" s="5">
        <f t="shared" si="9"/>
        <v>0.18</v>
      </c>
      <c r="Z17" s="5">
        <f t="shared" si="10"/>
        <v>1</v>
      </c>
    </row>
    <row r="18">
      <c r="A18" s="6" t="s">
        <v>86</v>
      </c>
      <c r="B18" s="7" t="s">
        <v>325</v>
      </c>
      <c r="C18" s="7" t="s">
        <v>25</v>
      </c>
      <c r="D18" s="7" t="s">
        <v>26</v>
      </c>
      <c r="E18" s="7" t="s">
        <v>332</v>
      </c>
      <c r="F18" s="7">
        <v>388737.014</v>
      </c>
      <c r="G18" s="7">
        <v>9892762.224</v>
      </c>
      <c r="H18" s="20" t="s">
        <v>87</v>
      </c>
      <c r="I18" s="20" t="s">
        <v>88</v>
      </c>
      <c r="J18" s="21">
        <v>233.568</v>
      </c>
      <c r="K18" s="26">
        <v>175.16</v>
      </c>
      <c r="L18" s="26">
        <v>1055.0</v>
      </c>
      <c r="M18" s="14">
        <v>1524.0</v>
      </c>
      <c r="N18" s="14">
        <v>-0.6</v>
      </c>
      <c r="O18" s="5">
        <v>22.0</v>
      </c>
      <c r="P18" s="5">
        <f t="shared" si="1"/>
        <v>2987.728</v>
      </c>
      <c r="Q18" s="5">
        <f t="shared" si="2"/>
        <v>0.08</v>
      </c>
      <c r="R18" s="5">
        <f t="shared" si="3"/>
        <v>0.35</v>
      </c>
      <c r="S18" s="5">
        <f t="shared" si="4"/>
        <v>0.51</v>
      </c>
      <c r="T18" s="5">
        <f t="shared" si="5"/>
        <v>0.06</v>
      </c>
      <c r="U18" s="5">
        <f t="shared" si="6"/>
        <v>0.05915</v>
      </c>
      <c r="V18" s="5">
        <f t="shared" si="11"/>
        <v>0.01792</v>
      </c>
      <c r="W18" s="5">
        <f t="shared" si="7"/>
        <v>0.02892</v>
      </c>
      <c r="X18" s="5">
        <f t="shared" si="8"/>
        <v>0.06375</v>
      </c>
      <c r="Y18" s="5">
        <f t="shared" si="9"/>
        <v>0.17</v>
      </c>
      <c r="Z18" s="5">
        <f t="shared" si="10"/>
        <v>0</v>
      </c>
    </row>
    <row r="19" ht="15.75" customHeight="1">
      <c r="A19" s="6" t="s">
        <v>89</v>
      </c>
      <c r="B19" s="7" t="s">
        <v>325</v>
      </c>
      <c r="C19" s="7" t="s">
        <v>25</v>
      </c>
      <c r="D19" s="7" t="s">
        <v>26</v>
      </c>
      <c r="E19" s="7" t="s">
        <v>332</v>
      </c>
      <c r="F19" s="7">
        <v>388527.547</v>
      </c>
      <c r="G19" s="7">
        <v>9892447.287</v>
      </c>
      <c r="H19" s="20" t="s">
        <v>90</v>
      </c>
      <c r="I19" s="20" t="s">
        <v>91</v>
      </c>
      <c r="J19" s="21">
        <v>378.193</v>
      </c>
      <c r="K19" s="26">
        <v>113.14</v>
      </c>
      <c r="L19" s="26">
        <v>1350.0</v>
      </c>
      <c r="M19" s="14">
        <v>1842.0</v>
      </c>
      <c r="N19" s="14"/>
      <c r="O19" s="23">
        <v>23.0</v>
      </c>
      <c r="P19" s="5">
        <f t="shared" si="1"/>
        <v>3683.333</v>
      </c>
      <c r="Q19" s="5">
        <f t="shared" si="2"/>
        <v>0.1</v>
      </c>
      <c r="R19" s="5">
        <f t="shared" si="3"/>
        <v>0.37</v>
      </c>
      <c r="S19" s="5">
        <f t="shared" si="4"/>
        <v>0.5</v>
      </c>
      <c r="T19" s="5">
        <f t="shared" si="5"/>
        <v>0.03</v>
      </c>
      <c r="U19" s="5">
        <f t="shared" si="6"/>
        <v>0.06253</v>
      </c>
      <c r="V19" s="5">
        <f t="shared" si="11"/>
        <v>0.0224</v>
      </c>
      <c r="W19" s="5">
        <f t="shared" si="7"/>
        <v>0.01446</v>
      </c>
      <c r="X19" s="5">
        <f t="shared" si="8"/>
        <v>0.0625</v>
      </c>
      <c r="Y19" s="5">
        <f t="shared" si="9"/>
        <v>0.16</v>
      </c>
      <c r="Z19" s="5">
        <f t="shared" si="10"/>
        <v>0</v>
      </c>
    </row>
    <row r="20" ht="15.75" customHeight="1">
      <c r="A20" s="6" t="s">
        <v>92</v>
      </c>
      <c r="B20" s="7" t="s">
        <v>325</v>
      </c>
      <c r="C20" s="7" t="s">
        <v>25</v>
      </c>
      <c r="D20" s="7" t="s">
        <v>26</v>
      </c>
      <c r="E20" s="7" t="s">
        <v>332</v>
      </c>
      <c r="F20" s="7">
        <v>388363.963</v>
      </c>
      <c r="G20" s="7">
        <v>9892195.814</v>
      </c>
      <c r="H20" s="20" t="s">
        <v>93</v>
      </c>
      <c r="I20" s="20" t="s">
        <v>94</v>
      </c>
      <c r="J20" s="21">
        <v>300.0</v>
      </c>
      <c r="K20" s="26">
        <v>76.49</v>
      </c>
      <c r="L20" s="26">
        <v>1220.0</v>
      </c>
      <c r="M20" s="14">
        <v>2117.0</v>
      </c>
      <c r="N20" s="14"/>
      <c r="O20" s="5">
        <v>24.0</v>
      </c>
      <c r="P20" s="5">
        <f t="shared" si="1"/>
        <v>3713.49</v>
      </c>
      <c r="Q20" s="5">
        <f t="shared" si="2"/>
        <v>0.08</v>
      </c>
      <c r="R20" s="5">
        <f t="shared" si="3"/>
        <v>0.33</v>
      </c>
      <c r="S20" s="5">
        <f t="shared" si="4"/>
        <v>0.57</v>
      </c>
      <c r="T20" s="5">
        <f t="shared" si="5"/>
        <v>0.02</v>
      </c>
      <c r="U20" s="5">
        <f t="shared" si="6"/>
        <v>0.05577</v>
      </c>
      <c r="V20" s="5">
        <f t="shared" si="11"/>
        <v>0.01792</v>
      </c>
      <c r="W20" s="5">
        <f t="shared" si="7"/>
        <v>0.00964</v>
      </c>
      <c r="X20" s="5">
        <f t="shared" si="8"/>
        <v>0.07125</v>
      </c>
      <c r="Y20" s="5">
        <f t="shared" si="9"/>
        <v>0.15</v>
      </c>
      <c r="Z20" s="5">
        <f t="shared" si="10"/>
        <v>0</v>
      </c>
    </row>
    <row r="21" ht="15.75" customHeight="1">
      <c r="A21" s="6" t="s">
        <v>95</v>
      </c>
      <c r="B21" s="7" t="s">
        <v>325</v>
      </c>
      <c r="C21" s="7" t="s">
        <v>25</v>
      </c>
      <c r="D21" s="7" t="s">
        <v>26</v>
      </c>
      <c r="E21" s="7" t="s">
        <v>332</v>
      </c>
      <c r="F21" s="7">
        <v>388193.159</v>
      </c>
      <c r="G21" s="7">
        <v>9891933.258</v>
      </c>
      <c r="H21" s="20" t="s">
        <v>96</v>
      </c>
      <c r="I21" s="20" t="s">
        <v>97</v>
      </c>
      <c r="J21" s="21">
        <v>313.251</v>
      </c>
      <c r="K21" s="26">
        <v>57.53</v>
      </c>
      <c r="L21" s="26">
        <v>925.0</v>
      </c>
      <c r="M21" s="14">
        <v>2430.0</v>
      </c>
      <c r="N21" s="14"/>
      <c r="O21" s="23">
        <v>25.0</v>
      </c>
      <c r="P21" s="5">
        <f t="shared" si="1"/>
        <v>3725.781</v>
      </c>
      <c r="Q21" s="5">
        <f t="shared" si="2"/>
        <v>0.08</v>
      </c>
      <c r="R21" s="5">
        <f t="shared" si="3"/>
        <v>0.25</v>
      </c>
      <c r="S21" s="5">
        <f t="shared" si="4"/>
        <v>0.65</v>
      </c>
      <c r="T21" s="5">
        <f t="shared" si="5"/>
        <v>0.02</v>
      </c>
      <c r="U21" s="5">
        <f t="shared" si="6"/>
        <v>0.04225</v>
      </c>
      <c r="V21" s="5">
        <f t="shared" si="11"/>
        <v>0.01792</v>
      </c>
      <c r="W21" s="5">
        <f t="shared" si="7"/>
        <v>0.00964</v>
      </c>
      <c r="X21" s="5">
        <f t="shared" si="8"/>
        <v>0.08125</v>
      </c>
      <c r="Y21" s="5">
        <f t="shared" si="9"/>
        <v>0.15</v>
      </c>
      <c r="Z21" s="5">
        <f t="shared" si="10"/>
        <v>0</v>
      </c>
    </row>
    <row r="22" ht="15.75" customHeight="1">
      <c r="A22" s="6" t="s">
        <v>98</v>
      </c>
      <c r="B22" s="7" t="s">
        <v>325</v>
      </c>
      <c r="C22" s="7" t="s">
        <v>25</v>
      </c>
      <c r="D22" s="7" t="s">
        <v>26</v>
      </c>
      <c r="E22" s="7" t="s">
        <v>332</v>
      </c>
      <c r="F22" s="7">
        <v>388034.083</v>
      </c>
      <c r="G22" s="7">
        <v>9891688.689</v>
      </c>
      <c r="H22" s="20" t="s">
        <v>99</v>
      </c>
      <c r="I22" s="20" t="s">
        <v>100</v>
      </c>
      <c r="J22" s="21">
        <v>291.7</v>
      </c>
      <c r="K22" s="26">
        <v>70.66</v>
      </c>
      <c r="L22" s="26">
        <v>675.0</v>
      </c>
      <c r="M22" s="14">
        <v>2695.0</v>
      </c>
      <c r="N22" s="14">
        <v>-0.7</v>
      </c>
      <c r="O22" s="5">
        <v>26.0</v>
      </c>
      <c r="P22" s="5">
        <f t="shared" si="1"/>
        <v>3732.36</v>
      </c>
      <c r="Q22" s="5">
        <f t="shared" si="2"/>
        <v>0.08</v>
      </c>
      <c r="R22" s="5">
        <f t="shared" si="3"/>
        <v>0.18</v>
      </c>
      <c r="S22" s="5">
        <f t="shared" si="4"/>
        <v>0.72</v>
      </c>
      <c r="T22" s="5">
        <f t="shared" si="5"/>
        <v>0.02</v>
      </c>
      <c r="U22" s="5">
        <f t="shared" si="6"/>
        <v>0.03042</v>
      </c>
      <c r="V22" s="5">
        <f t="shared" si="11"/>
        <v>0.01792</v>
      </c>
      <c r="W22" s="5">
        <f t="shared" si="7"/>
        <v>0.00964</v>
      </c>
      <c r="X22" s="5">
        <f t="shared" si="8"/>
        <v>0.09</v>
      </c>
      <c r="Y22" s="5">
        <f t="shared" si="9"/>
        <v>0.15</v>
      </c>
      <c r="Z22" s="5">
        <f t="shared" si="10"/>
        <v>0</v>
      </c>
    </row>
    <row r="23" ht="15.75" customHeight="1">
      <c r="A23" s="6" t="s">
        <v>101</v>
      </c>
      <c r="B23" s="7" t="s">
        <v>325</v>
      </c>
      <c r="C23" s="7" t="s">
        <v>25</v>
      </c>
      <c r="D23" s="7" t="s">
        <v>26</v>
      </c>
      <c r="E23" s="7" t="s">
        <v>332</v>
      </c>
      <c r="F23" s="7">
        <v>387708.669</v>
      </c>
      <c r="G23" s="7">
        <v>9891464.127</v>
      </c>
      <c r="H23" s="20" t="s">
        <v>102</v>
      </c>
      <c r="I23" s="20" t="s">
        <v>103</v>
      </c>
      <c r="J23" s="21">
        <v>395.363</v>
      </c>
      <c r="K23" s="26">
        <v>215.89</v>
      </c>
      <c r="L23" s="26">
        <v>309.94</v>
      </c>
      <c r="M23" s="14">
        <v>3021.79</v>
      </c>
      <c r="N23" s="14">
        <v>-0.7</v>
      </c>
      <c r="O23" s="23">
        <v>27.0</v>
      </c>
      <c r="P23" s="5">
        <f t="shared" si="1"/>
        <v>3942.983</v>
      </c>
      <c r="Q23" s="5">
        <f t="shared" si="2"/>
        <v>0.1</v>
      </c>
      <c r="R23" s="5">
        <f t="shared" si="3"/>
        <v>0.08</v>
      </c>
      <c r="S23" s="5">
        <f t="shared" si="4"/>
        <v>0.77</v>
      </c>
      <c r="T23" s="5">
        <f t="shared" si="5"/>
        <v>0.05</v>
      </c>
      <c r="U23" s="5">
        <f t="shared" si="6"/>
        <v>0.01352</v>
      </c>
      <c r="V23" s="5">
        <f t="shared" si="11"/>
        <v>0.0224</v>
      </c>
      <c r="W23" s="5">
        <f t="shared" si="7"/>
        <v>0.0241</v>
      </c>
      <c r="X23" s="5">
        <f t="shared" si="8"/>
        <v>0.09625</v>
      </c>
      <c r="Y23" s="5">
        <f t="shared" si="9"/>
        <v>0.16</v>
      </c>
      <c r="Z23" s="5">
        <f t="shared" si="10"/>
        <v>0</v>
      </c>
    </row>
    <row r="24" ht="15.75" customHeight="1">
      <c r="A24" s="6" t="s">
        <v>104</v>
      </c>
      <c r="B24" s="7" t="s">
        <v>325</v>
      </c>
      <c r="C24" s="7" t="s">
        <v>25</v>
      </c>
      <c r="D24" s="7" t="s">
        <v>26</v>
      </c>
      <c r="E24" s="7" t="s">
        <v>332</v>
      </c>
      <c r="F24" s="7">
        <v>387516.535</v>
      </c>
      <c r="G24" s="7">
        <v>9891408.725</v>
      </c>
      <c r="H24" s="20" t="s">
        <v>105</v>
      </c>
      <c r="I24" s="20" t="s">
        <v>106</v>
      </c>
      <c r="J24" s="21">
        <v>200.038</v>
      </c>
      <c r="K24" s="26">
        <v>253.96</v>
      </c>
      <c r="L24" s="26">
        <v>108.4</v>
      </c>
      <c r="M24" s="14">
        <v>2885.81</v>
      </c>
      <c r="N24" s="14">
        <v>-0.6</v>
      </c>
      <c r="O24" s="5">
        <v>28.0</v>
      </c>
      <c r="P24" s="5">
        <f t="shared" si="1"/>
        <v>3448.208</v>
      </c>
      <c r="Q24" s="5">
        <f t="shared" si="2"/>
        <v>0.06</v>
      </c>
      <c r="R24" s="5">
        <f t="shared" si="3"/>
        <v>0.03</v>
      </c>
      <c r="S24" s="5">
        <f t="shared" si="4"/>
        <v>0.84</v>
      </c>
      <c r="T24" s="5">
        <f t="shared" si="5"/>
        <v>0.07</v>
      </c>
      <c r="U24" s="5">
        <f t="shared" si="6"/>
        <v>0.00507</v>
      </c>
      <c r="V24" s="5">
        <f t="shared" si="11"/>
        <v>0.01344</v>
      </c>
      <c r="W24" s="5">
        <f t="shared" si="7"/>
        <v>0.03374</v>
      </c>
      <c r="X24" s="5">
        <f t="shared" si="8"/>
        <v>0.105</v>
      </c>
      <c r="Y24" s="5">
        <f t="shared" si="9"/>
        <v>0.16</v>
      </c>
      <c r="Z24" s="5">
        <f t="shared" si="10"/>
        <v>0</v>
      </c>
    </row>
    <row r="25" ht="15.75" customHeight="1">
      <c r="A25" s="6" t="s">
        <v>107</v>
      </c>
      <c r="B25" s="7" t="s">
        <v>413</v>
      </c>
      <c r="C25" s="7" t="s">
        <v>25</v>
      </c>
      <c r="D25" s="7" t="s">
        <v>26</v>
      </c>
      <c r="E25" s="7" t="s">
        <v>332</v>
      </c>
      <c r="F25" s="7">
        <v>387276.316</v>
      </c>
      <c r="G25" s="7">
        <v>9891339.463</v>
      </c>
      <c r="H25" s="20" t="s">
        <v>108</v>
      </c>
      <c r="I25" s="20" t="s">
        <v>110</v>
      </c>
      <c r="J25" s="21">
        <v>249.995</v>
      </c>
      <c r="K25" s="26">
        <v>231.93</v>
      </c>
      <c r="L25" s="26">
        <v>130.79</v>
      </c>
      <c r="M25" s="14">
        <v>2576.63</v>
      </c>
      <c r="N25" s="14">
        <v>-0.5</v>
      </c>
      <c r="O25" s="23">
        <v>29.0</v>
      </c>
      <c r="P25" s="5">
        <f t="shared" si="1"/>
        <v>3189.345</v>
      </c>
      <c r="Q25" s="5">
        <f t="shared" si="2"/>
        <v>0.08</v>
      </c>
      <c r="R25" s="5">
        <f t="shared" si="3"/>
        <v>0.04</v>
      </c>
      <c r="S25" s="5">
        <f t="shared" si="4"/>
        <v>0.81</v>
      </c>
      <c r="T25" s="5">
        <f t="shared" si="5"/>
        <v>0.07</v>
      </c>
      <c r="U25" s="5">
        <f t="shared" si="6"/>
        <v>0.00676</v>
      </c>
      <c r="V25" s="5">
        <f t="shared" si="11"/>
        <v>0.01792</v>
      </c>
      <c r="W25" s="5">
        <f t="shared" si="7"/>
        <v>0.03374</v>
      </c>
      <c r="X25" s="5">
        <f t="shared" si="8"/>
        <v>0.10125</v>
      </c>
      <c r="Y25" s="5">
        <f t="shared" si="9"/>
        <v>0.16</v>
      </c>
      <c r="Z25" s="5">
        <f t="shared" si="10"/>
        <v>0</v>
      </c>
    </row>
    <row r="26" ht="15.75" customHeight="1">
      <c r="A26" s="6" t="s">
        <v>111</v>
      </c>
      <c r="B26" s="7" t="s">
        <v>413</v>
      </c>
      <c r="C26" s="7" t="s">
        <v>25</v>
      </c>
      <c r="D26" s="7" t="s">
        <v>26</v>
      </c>
      <c r="E26" s="7" t="s">
        <v>332</v>
      </c>
      <c r="F26" s="7">
        <v>387035.784</v>
      </c>
      <c r="G26" s="7">
        <v>9891270.353</v>
      </c>
      <c r="H26" s="20" t="s">
        <v>112</v>
      </c>
      <c r="I26" s="20" t="s">
        <v>113</v>
      </c>
      <c r="J26" s="21">
        <v>250.011</v>
      </c>
      <c r="K26" s="26">
        <v>228.73</v>
      </c>
      <c r="L26" s="26">
        <v>369.11</v>
      </c>
      <c r="M26" s="14">
        <v>2327.12</v>
      </c>
      <c r="N26" s="14">
        <v>-3.4</v>
      </c>
      <c r="O26" s="5">
        <v>30.0</v>
      </c>
      <c r="P26" s="5">
        <f t="shared" si="1"/>
        <v>3174.971</v>
      </c>
      <c r="Q26" s="5">
        <f t="shared" si="2"/>
        <v>0.08</v>
      </c>
      <c r="R26" s="5">
        <f t="shared" si="3"/>
        <v>0.12</v>
      </c>
      <c r="S26" s="5">
        <f t="shared" si="4"/>
        <v>0.73</v>
      </c>
      <c r="T26" s="5">
        <f t="shared" si="5"/>
        <v>0.07</v>
      </c>
      <c r="U26" s="5">
        <f t="shared" si="6"/>
        <v>0.02028</v>
      </c>
      <c r="V26" s="5">
        <f t="shared" si="11"/>
        <v>0.01792</v>
      </c>
      <c r="W26" s="5">
        <f t="shared" si="7"/>
        <v>0.03374</v>
      </c>
      <c r="X26" s="5">
        <f t="shared" si="8"/>
        <v>0.09125</v>
      </c>
      <c r="Y26" s="5">
        <f t="shared" si="9"/>
        <v>0.16</v>
      </c>
      <c r="Z26" s="5">
        <f t="shared" si="10"/>
        <v>0</v>
      </c>
    </row>
    <row r="27" ht="15.75" customHeight="1">
      <c r="A27" s="6" t="s">
        <v>114</v>
      </c>
      <c r="B27" s="7" t="s">
        <v>413</v>
      </c>
      <c r="C27" s="7" t="s">
        <v>418</v>
      </c>
      <c r="D27" s="7" t="s">
        <v>26</v>
      </c>
      <c r="E27" s="7" t="s">
        <v>332</v>
      </c>
      <c r="F27" s="7">
        <v>386661.472</v>
      </c>
      <c r="G27" s="7">
        <v>9891241.077</v>
      </c>
      <c r="H27" s="20" t="s">
        <v>115</v>
      </c>
      <c r="I27" s="20" t="s">
        <v>116</v>
      </c>
      <c r="J27" s="21">
        <v>375.412</v>
      </c>
      <c r="K27" s="26">
        <v>200.58</v>
      </c>
      <c r="L27" s="26">
        <v>603.2</v>
      </c>
      <c r="M27" s="14">
        <v>1951.0</v>
      </c>
      <c r="N27" s="14">
        <v>-0.6</v>
      </c>
      <c r="O27" s="23">
        <v>31.0</v>
      </c>
      <c r="P27" s="5">
        <f t="shared" si="1"/>
        <v>3130.192</v>
      </c>
      <c r="Q27" s="5">
        <f t="shared" si="2"/>
        <v>0.12</v>
      </c>
      <c r="R27" s="5">
        <f t="shared" si="3"/>
        <v>0.19</v>
      </c>
      <c r="S27" s="5">
        <f t="shared" si="4"/>
        <v>0.62</v>
      </c>
      <c r="T27" s="5">
        <f t="shared" si="5"/>
        <v>0.06</v>
      </c>
      <c r="U27" s="5">
        <f t="shared" si="6"/>
        <v>0.03211</v>
      </c>
      <c r="V27" s="5">
        <f t="shared" si="11"/>
        <v>0.02688</v>
      </c>
      <c r="W27" s="5">
        <f t="shared" si="7"/>
        <v>0.02892</v>
      </c>
      <c r="X27" s="5">
        <f t="shared" si="8"/>
        <v>0.0775</v>
      </c>
      <c r="Y27" s="5">
        <f t="shared" si="9"/>
        <v>0.17</v>
      </c>
      <c r="Z27" s="5">
        <f t="shared" si="10"/>
        <v>0</v>
      </c>
    </row>
    <row r="28" ht="15.75" customHeight="1">
      <c r="A28" s="6" t="s">
        <v>117</v>
      </c>
      <c r="B28" s="7" t="s">
        <v>413</v>
      </c>
      <c r="C28" s="7" t="s">
        <v>418</v>
      </c>
      <c r="D28" s="7" t="s">
        <v>26</v>
      </c>
      <c r="E28" s="7" t="s">
        <v>332</v>
      </c>
      <c r="F28" s="7">
        <v>386433.937</v>
      </c>
      <c r="G28" s="7">
        <v>9891390.596</v>
      </c>
      <c r="H28" s="20" t="s">
        <v>119</v>
      </c>
      <c r="I28" s="20" t="s">
        <v>120</v>
      </c>
      <c r="J28" s="21">
        <v>272.52</v>
      </c>
      <c r="K28" s="26">
        <v>196.4</v>
      </c>
      <c r="L28" s="26">
        <v>494.0</v>
      </c>
      <c r="M28" s="14">
        <v>1787.84</v>
      </c>
      <c r="N28" s="14">
        <v>-0.7</v>
      </c>
      <c r="O28" s="5">
        <v>32.0</v>
      </c>
      <c r="P28" s="5">
        <f t="shared" si="1"/>
        <v>2750.76</v>
      </c>
      <c r="Q28" s="5">
        <f t="shared" si="2"/>
        <v>0.1</v>
      </c>
      <c r="R28" s="5">
        <f t="shared" si="3"/>
        <v>0.18</v>
      </c>
      <c r="S28" s="5">
        <f t="shared" si="4"/>
        <v>0.65</v>
      </c>
      <c r="T28" s="5">
        <f t="shared" si="5"/>
        <v>0.07</v>
      </c>
      <c r="U28" s="5">
        <f t="shared" si="6"/>
        <v>0.03042</v>
      </c>
      <c r="V28" s="5">
        <f t="shared" si="11"/>
        <v>0.0224</v>
      </c>
      <c r="W28" s="5">
        <f t="shared" si="7"/>
        <v>0.03374</v>
      </c>
      <c r="X28" s="5">
        <f t="shared" si="8"/>
        <v>0.08125</v>
      </c>
      <c r="Y28" s="5">
        <f t="shared" si="9"/>
        <v>0.17</v>
      </c>
      <c r="Z28" s="5">
        <f t="shared" si="10"/>
        <v>0</v>
      </c>
    </row>
    <row r="29" ht="15.75" customHeight="1">
      <c r="A29" s="6" t="s">
        <v>121</v>
      </c>
      <c r="B29" s="7" t="s">
        <v>413</v>
      </c>
      <c r="C29" s="7" t="s">
        <v>418</v>
      </c>
      <c r="D29" s="7" t="s">
        <v>26</v>
      </c>
      <c r="E29" s="7" t="s">
        <v>332</v>
      </c>
      <c r="F29" s="7">
        <v>386140.015</v>
      </c>
      <c r="G29" s="7">
        <v>9891583.594</v>
      </c>
      <c r="H29" s="20" t="s">
        <v>122</v>
      </c>
      <c r="I29" s="20" t="s">
        <v>124</v>
      </c>
      <c r="J29" s="21">
        <v>352.029</v>
      </c>
      <c r="K29" s="14">
        <v>194.63</v>
      </c>
      <c r="L29" s="14">
        <v>392.48</v>
      </c>
      <c r="M29" s="14">
        <v>1475.7</v>
      </c>
      <c r="N29" s="14">
        <v>-0.6</v>
      </c>
      <c r="O29" s="23">
        <v>33.0</v>
      </c>
      <c r="P29" s="5">
        <f t="shared" si="1"/>
        <v>2414.839</v>
      </c>
      <c r="Q29" s="5">
        <f t="shared" si="2"/>
        <v>0.15</v>
      </c>
      <c r="R29" s="5">
        <f t="shared" si="3"/>
        <v>0.16</v>
      </c>
      <c r="S29" s="5">
        <f t="shared" si="4"/>
        <v>0.61</v>
      </c>
      <c r="T29" s="5">
        <f t="shared" si="5"/>
        <v>0.08</v>
      </c>
      <c r="U29" s="5">
        <f t="shared" si="6"/>
        <v>0.02704</v>
      </c>
      <c r="V29" s="5">
        <f t="shared" si="11"/>
        <v>0.0336</v>
      </c>
      <c r="W29" s="5">
        <f t="shared" si="7"/>
        <v>0.03856</v>
      </c>
      <c r="X29" s="5">
        <f t="shared" si="8"/>
        <v>0.07625</v>
      </c>
      <c r="Y29" s="5">
        <f t="shared" si="9"/>
        <v>0.18</v>
      </c>
      <c r="Z29" s="5">
        <f t="shared" si="10"/>
        <v>1</v>
      </c>
    </row>
    <row r="30" ht="15.75" customHeight="1">
      <c r="A30" s="6" t="s">
        <v>126</v>
      </c>
      <c r="B30" s="7" t="s">
        <v>413</v>
      </c>
      <c r="C30" s="7" t="s">
        <v>418</v>
      </c>
      <c r="D30" s="7" t="s">
        <v>26</v>
      </c>
      <c r="E30" s="7" t="s">
        <v>332</v>
      </c>
      <c r="F30" s="7">
        <v>385837.047</v>
      </c>
      <c r="G30" s="7">
        <v>9891782.131</v>
      </c>
      <c r="H30" s="20" t="s">
        <v>127</v>
      </c>
      <c r="I30" s="20" t="s">
        <v>128</v>
      </c>
      <c r="J30" s="21">
        <v>361.774</v>
      </c>
      <c r="K30" s="14">
        <v>196.3</v>
      </c>
      <c r="L30" s="14">
        <v>394.99</v>
      </c>
      <c r="M30" s="14">
        <v>1343.0</v>
      </c>
      <c r="N30" s="14">
        <v>-0.8</v>
      </c>
      <c r="O30" s="5">
        <v>34.0</v>
      </c>
      <c r="P30" s="5">
        <f t="shared" si="1"/>
        <v>2296.064</v>
      </c>
      <c r="Q30" s="5">
        <f t="shared" si="2"/>
        <v>0.16</v>
      </c>
      <c r="R30" s="5">
        <f t="shared" si="3"/>
        <v>0.17</v>
      </c>
      <c r="S30" s="5">
        <f t="shared" si="4"/>
        <v>0.58</v>
      </c>
      <c r="T30" s="5">
        <f t="shared" si="5"/>
        <v>0.09</v>
      </c>
      <c r="U30" s="5">
        <f t="shared" si="6"/>
        <v>0.02873</v>
      </c>
      <c r="V30" s="5">
        <f t="shared" si="11"/>
        <v>0.03584</v>
      </c>
      <c r="W30" s="5">
        <f t="shared" si="7"/>
        <v>0.04338</v>
      </c>
      <c r="X30" s="5">
        <f t="shared" si="8"/>
        <v>0.0725</v>
      </c>
      <c r="Y30" s="5">
        <f t="shared" si="9"/>
        <v>0.18</v>
      </c>
      <c r="Z30" s="5">
        <f t="shared" si="10"/>
        <v>1</v>
      </c>
    </row>
    <row r="31" ht="15.75" customHeight="1">
      <c r="A31" s="6" t="s">
        <v>129</v>
      </c>
      <c r="B31" s="7" t="s">
        <v>413</v>
      </c>
      <c r="C31" s="7" t="s">
        <v>418</v>
      </c>
      <c r="D31" s="7" t="s">
        <v>26</v>
      </c>
      <c r="E31" s="7" t="s">
        <v>332</v>
      </c>
      <c r="F31" s="7">
        <v>385534.14</v>
      </c>
      <c r="G31" s="7">
        <v>9891980.859</v>
      </c>
      <c r="H31" s="20" t="s">
        <v>131</v>
      </c>
      <c r="I31" s="20" t="s">
        <v>133</v>
      </c>
      <c r="J31" s="21">
        <v>362.32</v>
      </c>
      <c r="K31" s="14">
        <v>172.45</v>
      </c>
      <c r="L31" s="14">
        <v>571.0</v>
      </c>
      <c r="M31" s="14">
        <v>1113.0</v>
      </c>
      <c r="N31" s="14">
        <v>-0.7</v>
      </c>
      <c r="O31" s="23">
        <v>35.0</v>
      </c>
      <c r="P31" s="5">
        <f t="shared" si="1"/>
        <v>2218.77</v>
      </c>
      <c r="Q31" s="5">
        <f t="shared" si="2"/>
        <v>0.16</v>
      </c>
      <c r="R31" s="5">
        <f t="shared" si="3"/>
        <v>0.26</v>
      </c>
      <c r="S31" s="5">
        <f t="shared" si="4"/>
        <v>0.5</v>
      </c>
      <c r="T31" s="5">
        <f t="shared" si="5"/>
        <v>0.08</v>
      </c>
      <c r="U31" s="5">
        <f t="shared" si="6"/>
        <v>0.04394</v>
      </c>
      <c r="V31" s="5">
        <f t="shared" si="11"/>
        <v>0.03584</v>
      </c>
      <c r="W31" s="5">
        <f t="shared" si="7"/>
        <v>0.03856</v>
      </c>
      <c r="X31" s="5">
        <f t="shared" si="8"/>
        <v>0.0625</v>
      </c>
      <c r="Y31" s="5">
        <f t="shared" si="9"/>
        <v>0.18</v>
      </c>
      <c r="Z31" s="5">
        <f t="shared" si="10"/>
        <v>1</v>
      </c>
    </row>
    <row r="32" ht="15.75" customHeight="1">
      <c r="A32" s="6" t="s">
        <v>134</v>
      </c>
      <c r="B32" s="7" t="s">
        <v>413</v>
      </c>
      <c r="C32" s="7" t="s">
        <v>418</v>
      </c>
      <c r="D32" s="7" t="s">
        <v>26</v>
      </c>
      <c r="E32" s="7" t="s">
        <v>419</v>
      </c>
      <c r="F32" s="7">
        <v>385205.807</v>
      </c>
      <c r="G32" s="7">
        <v>9892196.17</v>
      </c>
      <c r="H32" s="7">
        <v>-0.975174966237095</v>
      </c>
      <c r="I32" s="20" t="s">
        <v>135</v>
      </c>
      <c r="J32" s="21">
        <v>392.412</v>
      </c>
      <c r="K32" s="14">
        <v>167.21</v>
      </c>
      <c r="L32" s="14">
        <v>572.0</v>
      </c>
      <c r="M32" s="14">
        <v>957.0</v>
      </c>
      <c r="N32" s="14">
        <v>-3.4</v>
      </c>
      <c r="O32" s="5">
        <v>36.0</v>
      </c>
      <c r="P32" s="5">
        <f t="shared" si="1"/>
        <v>2088.622</v>
      </c>
      <c r="Q32" s="5">
        <f t="shared" si="2"/>
        <v>0.19</v>
      </c>
      <c r="R32" s="5">
        <f t="shared" si="3"/>
        <v>0.27</v>
      </c>
      <c r="S32" s="5">
        <f t="shared" si="4"/>
        <v>0.46</v>
      </c>
      <c r="T32" s="5">
        <f t="shared" si="5"/>
        <v>0.08</v>
      </c>
      <c r="U32" s="5">
        <f t="shared" si="6"/>
        <v>0.04563</v>
      </c>
      <c r="V32" s="5">
        <f t="shared" si="11"/>
        <v>0.04256</v>
      </c>
      <c r="W32" s="5">
        <f t="shared" si="7"/>
        <v>0.03856</v>
      </c>
      <c r="X32" s="5">
        <f t="shared" si="8"/>
        <v>0.0575</v>
      </c>
      <c r="Y32" s="5">
        <f t="shared" si="9"/>
        <v>0.18</v>
      </c>
      <c r="Z32" s="5">
        <f t="shared" si="10"/>
        <v>1</v>
      </c>
    </row>
    <row r="33" ht="15.75" customHeight="1">
      <c r="A33" s="6" t="s">
        <v>138</v>
      </c>
      <c r="B33" s="7" t="s">
        <v>413</v>
      </c>
      <c r="C33" s="7" t="s">
        <v>418</v>
      </c>
      <c r="D33" s="7" t="s">
        <v>26</v>
      </c>
      <c r="E33" s="7" t="s">
        <v>332</v>
      </c>
      <c r="F33" s="7">
        <v>384936.293</v>
      </c>
      <c r="G33" s="7">
        <v>9892373.168</v>
      </c>
      <c r="H33" s="20" t="s">
        <v>139</v>
      </c>
      <c r="I33" s="20" t="s">
        <v>140</v>
      </c>
      <c r="J33" s="21">
        <v>322.629</v>
      </c>
      <c r="K33" s="14">
        <v>139.42</v>
      </c>
      <c r="L33" s="14">
        <v>555.05</v>
      </c>
      <c r="M33" s="14">
        <v>900.0</v>
      </c>
      <c r="N33" s="14">
        <v>-4.8</v>
      </c>
      <c r="O33" s="23">
        <v>37.0</v>
      </c>
      <c r="P33" s="5">
        <f t="shared" si="1"/>
        <v>1917.099</v>
      </c>
      <c r="Q33" s="5">
        <f t="shared" si="2"/>
        <v>0.17</v>
      </c>
      <c r="R33" s="5">
        <f t="shared" si="3"/>
        <v>0.29</v>
      </c>
      <c r="S33" s="5">
        <f t="shared" si="4"/>
        <v>0.47</v>
      </c>
      <c r="T33" s="5">
        <f t="shared" si="5"/>
        <v>0.07</v>
      </c>
      <c r="U33" s="5">
        <f t="shared" si="6"/>
        <v>0.04901</v>
      </c>
      <c r="V33" s="5">
        <f t="shared" si="11"/>
        <v>0.03808</v>
      </c>
      <c r="W33" s="5">
        <f t="shared" si="7"/>
        <v>0.03374</v>
      </c>
      <c r="X33" s="5">
        <f t="shared" si="8"/>
        <v>0.05875</v>
      </c>
      <c r="Y33" s="5">
        <f t="shared" si="9"/>
        <v>0.18</v>
      </c>
      <c r="Z33" s="5">
        <f t="shared" si="10"/>
        <v>1</v>
      </c>
    </row>
    <row r="34" ht="15.75" customHeight="1">
      <c r="A34" s="6" t="s">
        <v>141</v>
      </c>
      <c r="B34" s="7" t="s">
        <v>413</v>
      </c>
      <c r="C34" s="7" t="s">
        <v>418</v>
      </c>
      <c r="D34" s="7" t="s">
        <v>26</v>
      </c>
      <c r="E34" s="7" t="s">
        <v>420</v>
      </c>
      <c r="F34" s="7">
        <v>384662.155</v>
      </c>
      <c r="G34" s="7">
        <v>9892552.908</v>
      </c>
      <c r="H34" s="20" t="s">
        <v>142</v>
      </c>
      <c r="I34" s="20" t="s">
        <v>143</v>
      </c>
      <c r="J34" s="21">
        <v>327.858</v>
      </c>
      <c r="K34" s="14">
        <v>130.34</v>
      </c>
      <c r="L34" s="14">
        <v>555.0</v>
      </c>
      <c r="M34" s="14">
        <v>876.0</v>
      </c>
      <c r="N34" s="14">
        <v>-3.6</v>
      </c>
      <c r="O34" s="5">
        <v>38.0</v>
      </c>
      <c r="P34" s="5">
        <f t="shared" si="1"/>
        <v>1889.198</v>
      </c>
      <c r="Q34" s="5">
        <f t="shared" si="2"/>
        <v>0.17</v>
      </c>
      <c r="R34" s="5">
        <f t="shared" si="3"/>
        <v>0.29</v>
      </c>
      <c r="S34" s="5">
        <f t="shared" si="4"/>
        <v>0.46</v>
      </c>
      <c r="T34" s="5">
        <f t="shared" si="5"/>
        <v>0.07</v>
      </c>
      <c r="U34" s="5">
        <f t="shared" si="6"/>
        <v>0.04901</v>
      </c>
      <c r="V34" s="5">
        <f t="shared" si="11"/>
        <v>0.03808</v>
      </c>
      <c r="W34" s="5">
        <f t="shared" si="7"/>
        <v>0.03374</v>
      </c>
      <c r="X34" s="5">
        <f t="shared" si="8"/>
        <v>0.0575</v>
      </c>
      <c r="Y34" s="5">
        <f t="shared" si="9"/>
        <v>0.18</v>
      </c>
      <c r="Z34" s="5">
        <f t="shared" si="10"/>
        <v>1</v>
      </c>
    </row>
    <row r="35" ht="15.75" customHeight="1">
      <c r="A35" s="6" t="s">
        <v>144</v>
      </c>
      <c r="B35" s="7" t="s">
        <v>413</v>
      </c>
      <c r="C35" s="7" t="s">
        <v>418</v>
      </c>
      <c r="D35" s="7" t="s">
        <v>26</v>
      </c>
      <c r="E35" s="7" t="s">
        <v>332</v>
      </c>
      <c r="F35" s="7">
        <v>384346.613</v>
      </c>
      <c r="G35" s="7">
        <v>9892759.97</v>
      </c>
      <c r="H35" s="20" t="s">
        <v>145</v>
      </c>
      <c r="I35" s="20" t="s">
        <v>146</v>
      </c>
      <c r="J35" s="21">
        <v>377.261</v>
      </c>
      <c r="K35" s="14">
        <v>134.34</v>
      </c>
      <c r="L35" s="14">
        <v>533.0</v>
      </c>
      <c r="M35" s="14">
        <v>85.0</v>
      </c>
      <c r="N35" s="14">
        <v>-0.8</v>
      </c>
      <c r="O35" s="23">
        <v>39.0</v>
      </c>
      <c r="P35" s="5">
        <f t="shared" si="1"/>
        <v>1129.601</v>
      </c>
      <c r="Q35" s="5">
        <f t="shared" si="2"/>
        <v>0.33</v>
      </c>
      <c r="R35" s="5">
        <f t="shared" si="3"/>
        <v>0.47</v>
      </c>
      <c r="S35" s="5">
        <f t="shared" si="4"/>
        <v>0.08</v>
      </c>
      <c r="T35" s="5">
        <f t="shared" si="5"/>
        <v>0.12</v>
      </c>
      <c r="U35" s="5">
        <f t="shared" si="6"/>
        <v>0.07943</v>
      </c>
      <c r="V35" s="5">
        <f t="shared" si="11"/>
        <v>0.07392</v>
      </c>
      <c r="W35" s="5">
        <f t="shared" si="7"/>
        <v>0.05784</v>
      </c>
      <c r="X35" s="5">
        <f t="shared" si="8"/>
        <v>0.01</v>
      </c>
      <c r="Y35" s="5">
        <f t="shared" si="9"/>
        <v>0.22</v>
      </c>
      <c r="Z35" s="5">
        <f t="shared" si="10"/>
        <v>1</v>
      </c>
    </row>
    <row r="36" ht="15.75" customHeight="1">
      <c r="A36" s="6" t="s">
        <v>147</v>
      </c>
      <c r="B36" s="7" t="s">
        <v>413</v>
      </c>
      <c r="C36" s="7" t="s">
        <v>418</v>
      </c>
      <c r="D36" s="7" t="s">
        <v>26</v>
      </c>
      <c r="E36" s="7" t="s">
        <v>332</v>
      </c>
      <c r="F36" s="7">
        <v>384058.422</v>
      </c>
      <c r="G36" s="7">
        <v>9892948.992</v>
      </c>
      <c r="H36" s="20" t="s">
        <v>148</v>
      </c>
      <c r="I36" s="20" t="s">
        <v>149</v>
      </c>
      <c r="J36" s="21">
        <v>344.73</v>
      </c>
      <c r="K36" s="14">
        <v>137.0</v>
      </c>
      <c r="L36" s="14">
        <v>145.0</v>
      </c>
      <c r="M36" s="14">
        <v>125.0</v>
      </c>
      <c r="N36" s="14">
        <v>-0.8</v>
      </c>
      <c r="O36" s="5">
        <v>40.0</v>
      </c>
      <c r="P36" s="5">
        <f t="shared" si="1"/>
        <v>751.73</v>
      </c>
      <c r="Q36" s="5">
        <f t="shared" si="2"/>
        <v>0.46</v>
      </c>
      <c r="R36" s="5">
        <f t="shared" si="3"/>
        <v>0.19</v>
      </c>
      <c r="S36" s="5">
        <f t="shared" si="4"/>
        <v>0.17</v>
      </c>
      <c r="T36" s="5">
        <f t="shared" si="5"/>
        <v>0.18</v>
      </c>
      <c r="U36" s="5">
        <f t="shared" si="6"/>
        <v>0.03211</v>
      </c>
      <c r="V36" s="5">
        <f t="shared" si="11"/>
        <v>0.10304</v>
      </c>
      <c r="W36" s="5">
        <f t="shared" si="7"/>
        <v>0.08676</v>
      </c>
      <c r="X36" s="5">
        <f t="shared" si="8"/>
        <v>0.02125</v>
      </c>
      <c r="Y36" s="5">
        <f t="shared" si="9"/>
        <v>0.24</v>
      </c>
      <c r="Z36" s="5">
        <f t="shared" si="10"/>
        <v>1</v>
      </c>
    </row>
    <row r="37" ht="15.75" customHeight="1">
      <c r="A37" s="6" t="s">
        <v>150</v>
      </c>
      <c r="B37" s="7" t="s">
        <v>413</v>
      </c>
      <c r="C37" s="7" t="s">
        <v>418</v>
      </c>
      <c r="D37" s="7" t="s">
        <v>26</v>
      </c>
      <c r="E37" s="7" t="s">
        <v>456</v>
      </c>
      <c r="F37" s="7">
        <v>383787.902</v>
      </c>
      <c r="G37" s="7">
        <v>9893126.394</v>
      </c>
      <c r="H37" s="20" t="s">
        <v>151</v>
      </c>
      <c r="I37" s="20" t="s">
        <v>152</v>
      </c>
      <c r="J37" s="21">
        <v>323.492</v>
      </c>
      <c r="K37" s="14">
        <v>131.33</v>
      </c>
      <c r="L37" s="14">
        <v>181.64</v>
      </c>
      <c r="M37" s="14">
        <v>165.28</v>
      </c>
      <c r="N37" s="14">
        <v>-0.8</v>
      </c>
      <c r="O37" s="23">
        <v>41.0</v>
      </c>
      <c r="P37" s="5">
        <f t="shared" si="1"/>
        <v>801.742</v>
      </c>
      <c r="Q37" s="5">
        <f t="shared" si="2"/>
        <v>0.4</v>
      </c>
      <c r="R37" s="5">
        <f t="shared" si="3"/>
        <v>0.23</v>
      </c>
      <c r="S37" s="5">
        <f t="shared" si="4"/>
        <v>0.21</v>
      </c>
      <c r="T37" s="5">
        <f t="shared" si="5"/>
        <v>0.16</v>
      </c>
      <c r="U37" s="5">
        <f t="shared" si="6"/>
        <v>0.03887</v>
      </c>
      <c r="V37" s="5">
        <f t="shared" si="11"/>
        <v>0.0896</v>
      </c>
      <c r="W37" s="5">
        <f t="shared" si="7"/>
        <v>0.07712</v>
      </c>
      <c r="X37" s="5">
        <f t="shared" si="8"/>
        <v>0.02625</v>
      </c>
      <c r="Y37" s="5">
        <f t="shared" si="9"/>
        <v>0.23</v>
      </c>
      <c r="Z37" s="5">
        <f t="shared" si="10"/>
        <v>1</v>
      </c>
    </row>
    <row r="38" ht="15.75" customHeight="1">
      <c r="A38" s="6" t="s">
        <v>153</v>
      </c>
      <c r="B38" s="7" t="s">
        <v>418</v>
      </c>
      <c r="C38" s="7" t="s">
        <v>418</v>
      </c>
      <c r="D38" s="7" t="s">
        <v>26</v>
      </c>
      <c r="E38" s="7" t="s">
        <v>332</v>
      </c>
      <c r="F38" s="7">
        <v>383525.819</v>
      </c>
      <c r="G38" s="7">
        <v>9893298.989</v>
      </c>
      <c r="H38" s="20" t="s">
        <v>154</v>
      </c>
      <c r="I38" s="20" t="s">
        <v>155</v>
      </c>
      <c r="J38" s="21">
        <v>314.682</v>
      </c>
      <c r="K38" s="14">
        <v>137.61</v>
      </c>
      <c r="L38" s="14">
        <v>291.0</v>
      </c>
      <c r="M38" s="14">
        <v>261.68</v>
      </c>
      <c r="N38" s="14">
        <v>-0.7</v>
      </c>
      <c r="O38" s="5">
        <v>42.0</v>
      </c>
      <c r="P38" s="5">
        <f t="shared" si="1"/>
        <v>1004.972</v>
      </c>
      <c r="Q38" s="5">
        <f t="shared" si="2"/>
        <v>0.31</v>
      </c>
      <c r="R38" s="5">
        <f t="shared" si="3"/>
        <v>0.29</v>
      </c>
      <c r="S38" s="5">
        <f t="shared" si="4"/>
        <v>0.26</v>
      </c>
      <c r="T38" s="5">
        <f t="shared" si="5"/>
        <v>0.14</v>
      </c>
      <c r="U38" s="5">
        <f t="shared" si="6"/>
        <v>0.04901</v>
      </c>
      <c r="V38" s="5">
        <f t="shared" si="11"/>
        <v>0.06944</v>
      </c>
      <c r="W38" s="5">
        <f t="shared" si="7"/>
        <v>0.06748</v>
      </c>
      <c r="X38" s="5">
        <f t="shared" si="8"/>
        <v>0.0325</v>
      </c>
      <c r="Y38" s="5">
        <f t="shared" si="9"/>
        <v>0.22</v>
      </c>
      <c r="Z38" s="5">
        <f t="shared" si="10"/>
        <v>1</v>
      </c>
    </row>
    <row r="39" ht="15.75" customHeight="1">
      <c r="A39" s="6" t="s">
        <v>156</v>
      </c>
      <c r="B39" s="7" t="s">
        <v>418</v>
      </c>
      <c r="C39" s="7" t="s">
        <v>418</v>
      </c>
      <c r="D39" s="7" t="s">
        <v>26</v>
      </c>
      <c r="E39" s="7" t="s">
        <v>332</v>
      </c>
      <c r="F39" s="7">
        <v>383158.44</v>
      </c>
      <c r="G39" s="7">
        <v>9893326.001</v>
      </c>
      <c r="H39" s="20" t="s">
        <v>157</v>
      </c>
      <c r="I39" s="20" t="s">
        <v>158</v>
      </c>
      <c r="J39" s="21">
        <v>367.347</v>
      </c>
      <c r="K39" s="14">
        <v>121.6</v>
      </c>
      <c r="L39" s="14">
        <v>257.61</v>
      </c>
      <c r="M39" s="14">
        <v>229.36</v>
      </c>
      <c r="N39" s="14">
        <v>-3.4</v>
      </c>
      <c r="O39" s="23">
        <v>43.0</v>
      </c>
      <c r="P39" s="5">
        <f t="shared" si="1"/>
        <v>975.917</v>
      </c>
      <c r="Q39" s="5">
        <f t="shared" si="2"/>
        <v>0.38</v>
      </c>
      <c r="R39" s="5">
        <f t="shared" si="3"/>
        <v>0.26</v>
      </c>
      <c r="S39" s="5">
        <f t="shared" si="4"/>
        <v>0.24</v>
      </c>
      <c r="T39" s="5">
        <f t="shared" si="5"/>
        <v>0.12</v>
      </c>
      <c r="U39" s="5">
        <f t="shared" si="6"/>
        <v>0.04394</v>
      </c>
      <c r="V39" s="5">
        <f t="shared" si="11"/>
        <v>0.08512</v>
      </c>
      <c r="W39" s="5">
        <f t="shared" si="7"/>
        <v>0.05784</v>
      </c>
      <c r="X39" s="5">
        <f t="shared" si="8"/>
        <v>0.03</v>
      </c>
      <c r="Y39" s="5">
        <f t="shared" si="9"/>
        <v>0.22</v>
      </c>
      <c r="Z39" s="5">
        <f t="shared" si="10"/>
        <v>1</v>
      </c>
    </row>
    <row r="40" ht="15.75" customHeight="1">
      <c r="A40" s="6" t="s">
        <v>159</v>
      </c>
      <c r="B40" s="7" t="s">
        <v>418</v>
      </c>
      <c r="C40" s="7" t="s">
        <v>418</v>
      </c>
      <c r="D40" s="7" t="s">
        <v>26</v>
      </c>
      <c r="E40" s="7" t="s">
        <v>437</v>
      </c>
      <c r="F40" s="7">
        <v>382850.369</v>
      </c>
      <c r="G40" s="7">
        <v>9893348.634</v>
      </c>
      <c r="H40" s="20" t="s">
        <v>160</v>
      </c>
      <c r="I40" s="20" t="s">
        <v>161</v>
      </c>
      <c r="J40" s="21">
        <v>308.893</v>
      </c>
      <c r="K40" s="14">
        <v>108.88</v>
      </c>
      <c r="L40" s="14">
        <v>131.51</v>
      </c>
      <c r="M40" s="14">
        <v>84.74</v>
      </c>
      <c r="N40" s="14">
        <v>-0.7</v>
      </c>
      <c r="O40" s="5">
        <v>44.0</v>
      </c>
      <c r="P40" s="5">
        <f t="shared" si="1"/>
        <v>634.023</v>
      </c>
      <c r="Q40" s="5">
        <f t="shared" si="2"/>
        <v>0.49</v>
      </c>
      <c r="R40" s="5">
        <f t="shared" si="3"/>
        <v>0.21</v>
      </c>
      <c r="S40" s="5">
        <f t="shared" si="4"/>
        <v>0.13</v>
      </c>
      <c r="T40" s="5">
        <f t="shared" si="5"/>
        <v>0.17</v>
      </c>
      <c r="U40" s="5">
        <f t="shared" si="6"/>
        <v>0.03549</v>
      </c>
      <c r="V40" s="5">
        <f t="shared" si="11"/>
        <v>0.10976</v>
      </c>
      <c r="W40" s="5">
        <f t="shared" si="7"/>
        <v>0.08194</v>
      </c>
      <c r="X40" s="5">
        <f t="shared" si="8"/>
        <v>0.01625</v>
      </c>
      <c r="Y40" s="5">
        <f t="shared" si="9"/>
        <v>0.24</v>
      </c>
      <c r="Z40" s="5">
        <f t="shared" si="10"/>
        <v>1</v>
      </c>
    </row>
    <row r="41" ht="15.75" customHeight="1">
      <c r="A41" s="6" t="s">
        <v>162</v>
      </c>
      <c r="B41" s="7" t="s">
        <v>440</v>
      </c>
      <c r="C41" s="7" t="s">
        <v>418</v>
      </c>
      <c r="D41" s="7" t="s">
        <v>26</v>
      </c>
      <c r="E41" s="7" t="s">
        <v>332</v>
      </c>
      <c r="F41" s="7">
        <v>382453.139</v>
      </c>
      <c r="G41" s="7">
        <v>9893303.136</v>
      </c>
      <c r="H41" s="20" t="s">
        <v>163</v>
      </c>
      <c r="I41" s="20" t="s">
        <v>164</v>
      </c>
      <c r="J41" s="21">
        <v>399.835</v>
      </c>
      <c r="K41" s="14">
        <v>105.81</v>
      </c>
      <c r="L41" s="14">
        <v>190.0</v>
      </c>
      <c r="M41" s="14">
        <v>209.46</v>
      </c>
      <c r="N41" s="14">
        <v>-4.4</v>
      </c>
      <c r="O41" s="23">
        <v>45.0</v>
      </c>
      <c r="P41" s="5">
        <f t="shared" si="1"/>
        <v>905.105</v>
      </c>
      <c r="Q41" s="5">
        <f t="shared" si="2"/>
        <v>0.44</v>
      </c>
      <c r="R41" s="5">
        <f t="shared" si="3"/>
        <v>0.21</v>
      </c>
      <c r="S41" s="5">
        <f t="shared" si="4"/>
        <v>0.23</v>
      </c>
      <c r="T41" s="5">
        <f t="shared" si="5"/>
        <v>0.12</v>
      </c>
      <c r="U41" s="5">
        <f t="shared" si="6"/>
        <v>0.03549</v>
      </c>
      <c r="V41" s="5">
        <f t="shared" si="11"/>
        <v>0.09856</v>
      </c>
      <c r="W41" s="5">
        <f t="shared" si="7"/>
        <v>0.05784</v>
      </c>
      <c r="X41" s="5">
        <f t="shared" si="8"/>
        <v>0.02875</v>
      </c>
      <c r="Y41" s="5">
        <f t="shared" si="9"/>
        <v>0.22</v>
      </c>
      <c r="Z41" s="5">
        <f t="shared" si="10"/>
        <v>1</v>
      </c>
    </row>
    <row r="42" ht="15.75" customHeight="1">
      <c r="A42" s="6" t="s">
        <v>165</v>
      </c>
      <c r="B42" s="7" t="s">
        <v>440</v>
      </c>
      <c r="C42" s="7" t="s">
        <v>418</v>
      </c>
      <c r="D42" s="7" t="s">
        <v>26</v>
      </c>
      <c r="E42" s="7" t="s">
        <v>332</v>
      </c>
      <c r="F42" s="7">
        <v>382142.454</v>
      </c>
      <c r="G42" s="7">
        <v>9893267.502</v>
      </c>
      <c r="H42" s="20" t="s">
        <v>166</v>
      </c>
      <c r="I42" s="20" t="s">
        <v>167</v>
      </c>
      <c r="J42" s="21">
        <v>312.737</v>
      </c>
      <c r="K42" s="14">
        <v>106.95</v>
      </c>
      <c r="L42" s="14">
        <v>509.0</v>
      </c>
      <c r="M42" s="14">
        <v>308.76</v>
      </c>
      <c r="N42" s="14">
        <v>-4.8</v>
      </c>
      <c r="O42" s="5">
        <v>46.0</v>
      </c>
      <c r="P42" s="5">
        <f t="shared" si="1"/>
        <v>1237.447</v>
      </c>
      <c r="Q42" s="5">
        <f t="shared" si="2"/>
        <v>0.25</v>
      </c>
      <c r="R42" s="5">
        <f t="shared" si="3"/>
        <v>0.41</v>
      </c>
      <c r="S42" s="5">
        <f t="shared" si="4"/>
        <v>0.25</v>
      </c>
      <c r="T42" s="5">
        <f t="shared" si="5"/>
        <v>0.09</v>
      </c>
      <c r="U42" s="5">
        <f t="shared" si="6"/>
        <v>0.06929</v>
      </c>
      <c r="V42" s="5">
        <f t="shared" si="11"/>
        <v>0.056</v>
      </c>
      <c r="W42" s="5">
        <f t="shared" si="7"/>
        <v>0.04338</v>
      </c>
      <c r="X42" s="5">
        <f t="shared" si="8"/>
        <v>0.03125</v>
      </c>
      <c r="Y42" s="5">
        <f t="shared" si="9"/>
        <v>0.2</v>
      </c>
      <c r="Z42" s="5">
        <f t="shared" si="10"/>
        <v>1</v>
      </c>
    </row>
    <row r="43" ht="15.75" customHeight="1">
      <c r="A43" s="6" t="s">
        <v>169</v>
      </c>
      <c r="B43" s="7" t="s">
        <v>444</v>
      </c>
      <c r="C43" s="7" t="s">
        <v>418</v>
      </c>
      <c r="D43" s="7" t="s">
        <v>26</v>
      </c>
      <c r="E43" s="7" t="s">
        <v>469</v>
      </c>
      <c r="F43" s="7">
        <v>381838.946</v>
      </c>
      <c r="G43" s="7">
        <v>9893163.003</v>
      </c>
      <c r="H43" s="20" t="s">
        <v>170</v>
      </c>
      <c r="I43" s="20" t="s">
        <v>171</v>
      </c>
      <c r="J43" s="21">
        <v>320.956</v>
      </c>
      <c r="K43" s="14">
        <v>109.43</v>
      </c>
      <c r="L43" s="14">
        <v>787.89</v>
      </c>
      <c r="M43" s="14">
        <v>415.0</v>
      </c>
      <c r="N43" s="14">
        <v>-0.8</v>
      </c>
      <c r="O43" s="23">
        <v>47.0</v>
      </c>
      <c r="P43" s="5">
        <f t="shared" si="1"/>
        <v>1633.276</v>
      </c>
      <c r="Q43" s="5">
        <f t="shared" si="2"/>
        <v>0.2</v>
      </c>
      <c r="R43" s="5">
        <f t="shared" si="3"/>
        <v>0.48</v>
      </c>
      <c r="S43" s="5">
        <f t="shared" si="4"/>
        <v>0.25</v>
      </c>
      <c r="T43" s="5">
        <f t="shared" si="5"/>
        <v>0.07</v>
      </c>
      <c r="U43" s="5">
        <f t="shared" si="6"/>
        <v>0.08112</v>
      </c>
      <c r="V43" s="5">
        <f t="shared" si="11"/>
        <v>0.0448</v>
      </c>
      <c r="W43" s="5">
        <f t="shared" si="7"/>
        <v>0.03374</v>
      </c>
      <c r="X43" s="5">
        <f t="shared" si="8"/>
        <v>0.03125</v>
      </c>
      <c r="Y43" s="5">
        <f t="shared" si="9"/>
        <v>0.19</v>
      </c>
      <c r="Z43" s="5">
        <f t="shared" si="10"/>
        <v>1</v>
      </c>
    </row>
    <row r="44" ht="15.75" customHeight="1">
      <c r="A44" s="6" t="s">
        <v>172</v>
      </c>
      <c r="B44" s="7" t="s">
        <v>444</v>
      </c>
      <c r="C44" s="7" t="s">
        <v>418</v>
      </c>
      <c r="D44" s="7" t="s">
        <v>26</v>
      </c>
      <c r="E44" s="7" t="s">
        <v>445</v>
      </c>
      <c r="F44" s="7">
        <v>381606.615</v>
      </c>
      <c r="G44" s="7">
        <v>9892949.731</v>
      </c>
      <c r="H44" s="20" t="s">
        <v>173</v>
      </c>
      <c r="I44" s="20" t="s">
        <v>174</v>
      </c>
      <c r="J44" s="21">
        <v>315.417</v>
      </c>
      <c r="K44" s="14">
        <v>103.43</v>
      </c>
      <c r="L44" s="14">
        <v>672.0</v>
      </c>
      <c r="M44" s="14">
        <v>448.43</v>
      </c>
      <c r="N44" s="14">
        <v>-4.2</v>
      </c>
      <c r="O44" s="5">
        <v>48.0</v>
      </c>
      <c r="P44" s="5">
        <f t="shared" si="1"/>
        <v>1539.277</v>
      </c>
      <c r="Q44" s="5">
        <f t="shared" si="2"/>
        <v>0.2</v>
      </c>
      <c r="R44" s="5">
        <f t="shared" si="3"/>
        <v>0.44</v>
      </c>
      <c r="S44" s="5">
        <f t="shared" si="4"/>
        <v>0.29</v>
      </c>
      <c r="T44" s="5">
        <f t="shared" si="5"/>
        <v>0.07</v>
      </c>
      <c r="U44" s="5">
        <f t="shared" si="6"/>
        <v>0.07436</v>
      </c>
      <c r="V44" s="5">
        <f t="shared" si="11"/>
        <v>0.0448</v>
      </c>
      <c r="W44" s="5">
        <f t="shared" si="7"/>
        <v>0.03374</v>
      </c>
      <c r="X44" s="5">
        <f t="shared" si="8"/>
        <v>0.03625</v>
      </c>
      <c r="Y44" s="5">
        <f t="shared" si="9"/>
        <v>0.19</v>
      </c>
      <c r="Z44" s="5">
        <f t="shared" si="10"/>
        <v>1</v>
      </c>
    </row>
    <row r="45" ht="15.75" customHeight="1">
      <c r="A45" s="6" t="s">
        <v>176</v>
      </c>
      <c r="B45" s="7" t="s">
        <v>444</v>
      </c>
      <c r="C45" s="7" t="s">
        <v>418</v>
      </c>
      <c r="D45" s="7" t="s">
        <v>26</v>
      </c>
      <c r="E45" s="7" t="s">
        <v>445</v>
      </c>
      <c r="F45" s="7">
        <v>381327.251</v>
      </c>
      <c r="G45" s="7">
        <v>9892693.343</v>
      </c>
      <c r="H45" s="20" t="s">
        <v>177</v>
      </c>
      <c r="I45" s="20" t="s">
        <v>178</v>
      </c>
      <c r="J45" s="21">
        <v>379.168</v>
      </c>
      <c r="K45" s="14">
        <v>115.83</v>
      </c>
      <c r="L45" s="14">
        <v>429.72</v>
      </c>
      <c r="M45" s="14">
        <v>300.77</v>
      </c>
      <c r="N45" s="14">
        <v>-3.0</v>
      </c>
      <c r="O45" s="23">
        <v>49.0</v>
      </c>
      <c r="P45" s="5">
        <f t="shared" si="1"/>
        <v>1225.488</v>
      </c>
      <c r="Q45" s="5">
        <f t="shared" si="2"/>
        <v>0.31</v>
      </c>
      <c r="R45" s="5">
        <f t="shared" si="3"/>
        <v>0.35</v>
      </c>
      <c r="S45" s="5">
        <f t="shared" si="4"/>
        <v>0.25</v>
      </c>
      <c r="T45" s="5">
        <f t="shared" si="5"/>
        <v>0.09</v>
      </c>
      <c r="U45" s="5">
        <f t="shared" si="6"/>
        <v>0.05915</v>
      </c>
      <c r="V45" s="5">
        <f t="shared" si="11"/>
        <v>0.06944</v>
      </c>
      <c r="W45" s="5">
        <f t="shared" si="7"/>
        <v>0.04338</v>
      </c>
      <c r="X45" s="5">
        <f t="shared" si="8"/>
        <v>0.03125</v>
      </c>
      <c r="Y45" s="5">
        <f t="shared" si="9"/>
        <v>0.2</v>
      </c>
      <c r="Z45" s="5">
        <f t="shared" si="10"/>
        <v>1</v>
      </c>
    </row>
    <row r="46" ht="15.75" customHeight="1">
      <c r="A46" s="6" t="s">
        <v>179</v>
      </c>
      <c r="B46" s="7" t="s">
        <v>444</v>
      </c>
      <c r="C46" s="7" t="s">
        <v>418</v>
      </c>
      <c r="D46" s="7" t="s">
        <v>26</v>
      </c>
      <c r="E46" s="7" t="s">
        <v>445</v>
      </c>
      <c r="F46" s="7">
        <v>380911.496</v>
      </c>
      <c r="G46" s="7">
        <v>9892633.034</v>
      </c>
      <c r="H46" s="20" t="s">
        <v>180</v>
      </c>
      <c r="I46" s="20" t="s">
        <v>181</v>
      </c>
      <c r="J46" s="21">
        <v>419.996</v>
      </c>
      <c r="K46" s="14">
        <v>116.93</v>
      </c>
      <c r="L46" s="14">
        <v>264.11</v>
      </c>
      <c r="M46" s="14">
        <v>15.0</v>
      </c>
      <c r="N46" s="14">
        <v>-2.4</v>
      </c>
      <c r="O46" s="5">
        <v>50.0</v>
      </c>
      <c r="P46" s="5">
        <f t="shared" si="1"/>
        <v>816.036</v>
      </c>
      <c r="Q46" s="5">
        <f t="shared" si="2"/>
        <v>0.51</v>
      </c>
      <c r="R46" s="5">
        <f t="shared" si="3"/>
        <v>0.32</v>
      </c>
      <c r="S46" s="5">
        <f t="shared" si="4"/>
        <v>0.02</v>
      </c>
      <c r="T46" s="5">
        <f t="shared" si="5"/>
        <v>0.14</v>
      </c>
      <c r="U46" s="5">
        <f t="shared" si="6"/>
        <v>0.05408</v>
      </c>
      <c r="V46" s="5">
        <f t="shared" si="11"/>
        <v>0.11424</v>
      </c>
      <c r="W46" s="5">
        <f t="shared" si="7"/>
        <v>0.06748</v>
      </c>
      <c r="X46" s="5">
        <f t="shared" si="8"/>
        <v>0.0025</v>
      </c>
      <c r="Y46" s="5">
        <f t="shared" si="9"/>
        <v>0.24</v>
      </c>
      <c r="Z46" s="5">
        <f t="shared" si="10"/>
        <v>1</v>
      </c>
    </row>
    <row r="47" ht="15.75" customHeight="1">
      <c r="A47" s="6" t="s">
        <v>182</v>
      </c>
      <c r="B47" s="7" t="s">
        <v>444</v>
      </c>
      <c r="C47" s="7" t="s">
        <v>418</v>
      </c>
      <c r="D47" s="7" t="s">
        <v>26</v>
      </c>
      <c r="E47" s="7" t="s">
        <v>445</v>
      </c>
      <c r="F47" s="7">
        <v>380535.482</v>
      </c>
      <c r="G47" s="7">
        <v>9892578.172</v>
      </c>
      <c r="H47" s="20" t="s">
        <v>183</v>
      </c>
      <c r="I47" s="20" t="s">
        <v>184</v>
      </c>
      <c r="J47" s="21">
        <v>380.04</v>
      </c>
      <c r="K47" s="14">
        <v>120.78</v>
      </c>
      <c r="L47" s="14">
        <v>652.79</v>
      </c>
      <c r="M47" s="14">
        <v>247.96</v>
      </c>
      <c r="N47" s="14">
        <v>-0.6</v>
      </c>
      <c r="O47" s="23">
        <v>51.0</v>
      </c>
      <c r="P47" s="5">
        <f t="shared" si="1"/>
        <v>1401.57</v>
      </c>
      <c r="Q47" s="5">
        <f t="shared" si="2"/>
        <v>0.27</v>
      </c>
      <c r="R47" s="5">
        <f t="shared" si="3"/>
        <v>0.47</v>
      </c>
      <c r="S47" s="5">
        <f t="shared" si="4"/>
        <v>0.18</v>
      </c>
      <c r="T47" s="5">
        <f t="shared" si="5"/>
        <v>0.09</v>
      </c>
      <c r="U47" s="5">
        <f t="shared" si="6"/>
        <v>0.07943</v>
      </c>
      <c r="V47" s="5">
        <f t="shared" si="11"/>
        <v>0.06048</v>
      </c>
      <c r="W47" s="5">
        <f t="shared" si="7"/>
        <v>0.04338</v>
      </c>
      <c r="X47" s="5">
        <f t="shared" si="8"/>
        <v>0.0225</v>
      </c>
      <c r="Y47" s="5">
        <f t="shared" si="9"/>
        <v>0.21</v>
      </c>
      <c r="Z47" s="5">
        <f t="shared" si="10"/>
        <v>1</v>
      </c>
    </row>
    <row r="48" ht="15.75" customHeight="1">
      <c r="A48" s="6" t="s">
        <v>185</v>
      </c>
      <c r="B48" s="7" t="s">
        <v>444</v>
      </c>
      <c r="C48" s="7" t="s">
        <v>418</v>
      </c>
      <c r="D48" s="7" t="s">
        <v>26</v>
      </c>
      <c r="E48" s="7" t="s">
        <v>445</v>
      </c>
      <c r="F48" s="7">
        <v>380079.405</v>
      </c>
      <c r="G48" s="7">
        <v>9892511.912</v>
      </c>
      <c r="H48" s="20" t="s">
        <v>186</v>
      </c>
      <c r="I48" s="20" t="s">
        <v>187</v>
      </c>
      <c r="J48" s="21">
        <v>460.913</v>
      </c>
      <c r="K48" s="14">
        <v>126.67</v>
      </c>
      <c r="L48" s="14">
        <v>385.11</v>
      </c>
      <c r="M48" s="14">
        <v>298.59</v>
      </c>
      <c r="N48" s="14">
        <v>-0.6</v>
      </c>
      <c r="O48" s="5">
        <v>52.0</v>
      </c>
      <c r="P48" s="5">
        <f t="shared" si="1"/>
        <v>1271.283</v>
      </c>
      <c r="Q48" s="5">
        <f t="shared" si="2"/>
        <v>0.36</v>
      </c>
      <c r="R48" s="5">
        <f t="shared" si="3"/>
        <v>0.3</v>
      </c>
      <c r="S48" s="5">
        <f t="shared" si="4"/>
        <v>0.23</v>
      </c>
      <c r="T48" s="5">
        <f t="shared" si="5"/>
        <v>0.1</v>
      </c>
      <c r="U48" s="5">
        <f t="shared" si="6"/>
        <v>0.0507</v>
      </c>
      <c r="V48" s="5">
        <f t="shared" si="11"/>
        <v>0.08064</v>
      </c>
      <c r="W48" s="5">
        <f t="shared" si="7"/>
        <v>0.0482</v>
      </c>
      <c r="X48" s="5">
        <f t="shared" si="8"/>
        <v>0.02875</v>
      </c>
      <c r="Y48" s="5">
        <f t="shared" si="9"/>
        <v>0.21</v>
      </c>
      <c r="Z48" s="5">
        <f t="shared" si="10"/>
        <v>1</v>
      </c>
    </row>
    <row r="49" ht="15.75" customHeight="1">
      <c r="A49" s="6" t="s">
        <v>188</v>
      </c>
      <c r="B49" s="7" t="s">
        <v>444</v>
      </c>
      <c r="C49" s="7" t="s">
        <v>418</v>
      </c>
      <c r="D49" s="7" t="s">
        <v>26</v>
      </c>
      <c r="E49" s="7" t="s">
        <v>445</v>
      </c>
      <c r="F49" s="7">
        <v>379809.939</v>
      </c>
      <c r="G49" s="7">
        <v>9892642.379</v>
      </c>
      <c r="H49" s="20" t="s">
        <v>189</v>
      </c>
      <c r="I49" s="20" t="s">
        <v>190</v>
      </c>
      <c r="J49" s="21">
        <v>299.469</v>
      </c>
      <c r="K49" s="14">
        <v>121.15</v>
      </c>
      <c r="L49" s="14">
        <v>340.2</v>
      </c>
      <c r="M49" s="14">
        <v>50.93</v>
      </c>
      <c r="N49" s="14">
        <v>-0.6</v>
      </c>
      <c r="O49" s="23">
        <v>53.0</v>
      </c>
      <c r="P49" s="5">
        <f t="shared" si="1"/>
        <v>811.749</v>
      </c>
      <c r="Q49" s="5">
        <f t="shared" si="2"/>
        <v>0.37</v>
      </c>
      <c r="R49" s="5">
        <f t="shared" si="3"/>
        <v>0.42</v>
      </c>
      <c r="S49" s="5">
        <f t="shared" si="4"/>
        <v>0.06</v>
      </c>
      <c r="T49" s="5">
        <f t="shared" si="5"/>
        <v>0.15</v>
      </c>
      <c r="U49" s="5">
        <f t="shared" si="6"/>
        <v>0.07098</v>
      </c>
      <c r="V49" s="5">
        <f t="shared" si="11"/>
        <v>0.08288</v>
      </c>
      <c r="W49" s="5">
        <f t="shared" si="7"/>
        <v>0.0723</v>
      </c>
      <c r="X49" s="5">
        <f t="shared" si="8"/>
        <v>0.0075</v>
      </c>
      <c r="Y49" s="5">
        <f t="shared" si="9"/>
        <v>0.23</v>
      </c>
      <c r="Z49" s="5">
        <f t="shared" si="10"/>
        <v>1</v>
      </c>
    </row>
    <row r="50" ht="15.75" customHeight="1">
      <c r="A50" s="6" t="s">
        <v>191</v>
      </c>
      <c r="B50" s="7" t="s">
        <v>444</v>
      </c>
      <c r="C50" s="7" t="s">
        <v>418</v>
      </c>
      <c r="D50" s="7" t="s">
        <v>26</v>
      </c>
      <c r="E50" s="7" t="s">
        <v>448</v>
      </c>
      <c r="F50" s="7">
        <v>379468.719</v>
      </c>
      <c r="G50" s="7">
        <v>9892807.713</v>
      </c>
      <c r="H50" s="20" t="s">
        <v>192</v>
      </c>
      <c r="I50" s="20" t="s">
        <v>193</v>
      </c>
      <c r="J50" s="21">
        <v>379.123</v>
      </c>
      <c r="K50" s="14">
        <v>122.95</v>
      </c>
      <c r="L50" s="14">
        <v>120.0</v>
      </c>
      <c r="M50" s="14">
        <v>200.0</v>
      </c>
      <c r="N50" s="14">
        <v>-3.8</v>
      </c>
      <c r="O50" s="5">
        <v>54.0</v>
      </c>
      <c r="P50" s="5">
        <f t="shared" si="1"/>
        <v>822.073</v>
      </c>
      <c r="Q50" s="5">
        <f t="shared" si="2"/>
        <v>0.46</v>
      </c>
      <c r="R50" s="5">
        <f t="shared" si="3"/>
        <v>0.15</v>
      </c>
      <c r="S50" s="5">
        <f t="shared" si="4"/>
        <v>0.24</v>
      </c>
      <c r="T50" s="5">
        <f t="shared" si="5"/>
        <v>0.15</v>
      </c>
      <c r="U50" s="5">
        <f t="shared" si="6"/>
        <v>0.02535</v>
      </c>
      <c r="V50" s="5">
        <f t="shared" si="11"/>
        <v>0.10304</v>
      </c>
      <c r="W50" s="5">
        <f t="shared" si="7"/>
        <v>0.0723</v>
      </c>
      <c r="X50" s="5">
        <f t="shared" si="8"/>
        <v>0.03</v>
      </c>
      <c r="Y50" s="5">
        <f t="shared" si="9"/>
        <v>0.23</v>
      </c>
      <c r="Z50" s="5">
        <f t="shared" si="10"/>
        <v>1</v>
      </c>
    </row>
    <row r="51" ht="15.75" customHeight="1">
      <c r="A51" s="6" t="s">
        <v>194</v>
      </c>
      <c r="B51" s="7" t="s">
        <v>444</v>
      </c>
      <c r="C51" s="7" t="s">
        <v>418</v>
      </c>
      <c r="D51" s="7" t="s">
        <v>26</v>
      </c>
      <c r="E51" s="7" t="s">
        <v>448</v>
      </c>
      <c r="F51" s="7">
        <v>379133.978</v>
      </c>
      <c r="G51" s="7">
        <v>9892969.905</v>
      </c>
      <c r="H51" s="20" t="s">
        <v>195</v>
      </c>
      <c r="I51" s="20" t="s">
        <v>196</v>
      </c>
      <c r="J51" s="21">
        <v>372.013</v>
      </c>
      <c r="K51" s="14">
        <v>126.99</v>
      </c>
      <c r="L51" s="14">
        <v>95.06</v>
      </c>
      <c r="M51" s="14">
        <v>315.0</v>
      </c>
      <c r="N51" s="14">
        <v>-3.4</v>
      </c>
      <c r="O51" s="23">
        <v>55.0</v>
      </c>
      <c r="P51" s="5">
        <f t="shared" si="1"/>
        <v>909.063</v>
      </c>
      <c r="Q51" s="5">
        <f t="shared" si="2"/>
        <v>0.41</v>
      </c>
      <c r="R51" s="5">
        <f t="shared" si="3"/>
        <v>0.1</v>
      </c>
      <c r="S51" s="5">
        <f t="shared" si="4"/>
        <v>0.35</v>
      </c>
      <c r="T51" s="5">
        <f t="shared" si="5"/>
        <v>0.14</v>
      </c>
      <c r="U51" s="5">
        <f t="shared" si="6"/>
        <v>0.0169</v>
      </c>
      <c r="V51" s="5">
        <f t="shared" si="11"/>
        <v>0.09184</v>
      </c>
      <c r="W51" s="5">
        <f t="shared" si="7"/>
        <v>0.06748</v>
      </c>
      <c r="X51" s="5">
        <f t="shared" si="8"/>
        <v>0.04375</v>
      </c>
      <c r="Y51" s="5">
        <f t="shared" si="9"/>
        <v>0.22</v>
      </c>
      <c r="Z51" s="5">
        <f t="shared" si="10"/>
        <v>1</v>
      </c>
    </row>
    <row r="52" ht="15.75" customHeight="1">
      <c r="A52" s="6" t="s">
        <v>197</v>
      </c>
      <c r="B52" s="7" t="s">
        <v>444</v>
      </c>
      <c r="C52" s="7" t="s">
        <v>418</v>
      </c>
      <c r="D52" s="7" t="s">
        <v>26</v>
      </c>
      <c r="E52" s="7" t="s">
        <v>450</v>
      </c>
      <c r="F52" s="7">
        <v>378782.051</v>
      </c>
      <c r="G52" s="7">
        <v>9893140.294</v>
      </c>
      <c r="H52" s="20" t="s">
        <v>198</v>
      </c>
      <c r="I52" s="20" t="s">
        <v>199</v>
      </c>
      <c r="J52" s="21">
        <v>391.003</v>
      </c>
      <c r="K52" s="14">
        <v>133.79</v>
      </c>
      <c r="L52" s="14">
        <v>119.57</v>
      </c>
      <c r="M52" s="14">
        <v>2296.28</v>
      </c>
      <c r="N52" s="14">
        <v>-4.4</v>
      </c>
      <c r="O52" s="5">
        <v>56.0</v>
      </c>
      <c r="P52" s="5">
        <f t="shared" si="1"/>
        <v>2940.643</v>
      </c>
      <c r="Q52" s="5">
        <f t="shared" si="2"/>
        <v>0.13</v>
      </c>
      <c r="R52" s="5">
        <f t="shared" si="3"/>
        <v>0.04</v>
      </c>
      <c r="S52" s="5">
        <f t="shared" si="4"/>
        <v>0.78</v>
      </c>
      <c r="T52" s="5">
        <f t="shared" si="5"/>
        <v>0.05</v>
      </c>
      <c r="U52" s="5">
        <f t="shared" si="6"/>
        <v>0.00676</v>
      </c>
      <c r="V52" s="5">
        <f t="shared" si="11"/>
        <v>0.02912</v>
      </c>
      <c r="W52" s="5">
        <f t="shared" si="7"/>
        <v>0.0241</v>
      </c>
      <c r="X52" s="5">
        <f t="shared" si="8"/>
        <v>0.0975</v>
      </c>
      <c r="Y52" s="5">
        <f t="shared" si="9"/>
        <v>0.16</v>
      </c>
      <c r="Z52" s="5">
        <f t="shared" si="10"/>
        <v>0</v>
      </c>
    </row>
    <row r="53" ht="15.75" customHeight="1">
      <c r="A53" s="6" t="s">
        <v>200</v>
      </c>
      <c r="B53" s="7" t="s">
        <v>451</v>
      </c>
      <c r="C53" s="7" t="s">
        <v>418</v>
      </c>
      <c r="D53" s="7" t="s">
        <v>26</v>
      </c>
      <c r="E53" s="7" t="s">
        <v>452</v>
      </c>
      <c r="F53" s="7">
        <v>378421.315</v>
      </c>
      <c r="G53" s="7">
        <v>9893315.065</v>
      </c>
      <c r="H53" s="20" t="s">
        <v>201</v>
      </c>
      <c r="I53" s="20" t="s">
        <v>202</v>
      </c>
      <c r="J53" s="21">
        <v>400.823</v>
      </c>
      <c r="K53" s="14">
        <v>140.67</v>
      </c>
      <c r="L53" s="14">
        <v>182.8</v>
      </c>
      <c r="M53" s="14">
        <v>1953.63</v>
      </c>
      <c r="N53" s="14">
        <v>-3.6</v>
      </c>
      <c r="O53" s="23">
        <v>57.0</v>
      </c>
      <c r="P53" s="5">
        <f t="shared" si="1"/>
        <v>2677.923</v>
      </c>
      <c r="Q53" s="5">
        <f t="shared" si="2"/>
        <v>0.15</v>
      </c>
      <c r="R53" s="5">
        <f t="shared" si="3"/>
        <v>0.07</v>
      </c>
      <c r="S53" s="5">
        <f t="shared" si="4"/>
        <v>0.73</v>
      </c>
      <c r="T53" s="5">
        <f t="shared" si="5"/>
        <v>0.05</v>
      </c>
      <c r="U53" s="5">
        <f t="shared" si="6"/>
        <v>0.01183</v>
      </c>
      <c r="V53" s="5">
        <f t="shared" si="11"/>
        <v>0.0336</v>
      </c>
      <c r="W53" s="5">
        <f t="shared" si="7"/>
        <v>0.0241</v>
      </c>
      <c r="X53" s="5">
        <f t="shared" si="8"/>
        <v>0.09125</v>
      </c>
      <c r="Y53" s="5">
        <f t="shared" si="9"/>
        <v>0.16</v>
      </c>
      <c r="Z53" s="5">
        <f t="shared" si="10"/>
        <v>0</v>
      </c>
    </row>
    <row r="54" ht="15.75" customHeight="1">
      <c r="A54" s="6" t="s">
        <v>203</v>
      </c>
      <c r="B54" s="7" t="s">
        <v>451</v>
      </c>
      <c r="C54" s="7" t="s">
        <v>418</v>
      </c>
      <c r="D54" s="7" t="s">
        <v>26</v>
      </c>
      <c r="E54" s="7" t="s">
        <v>452</v>
      </c>
      <c r="F54" s="7">
        <v>378145.729</v>
      </c>
      <c r="G54" s="7">
        <v>9893448.561</v>
      </c>
      <c r="H54" s="20" t="s">
        <v>204</v>
      </c>
      <c r="I54" s="20" t="s">
        <v>205</v>
      </c>
      <c r="J54" s="21">
        <v>306.171</v>
      </c>
      <c r="K54" s="14">
        <v>145.69</v>
      </c>
      <c r="L54" s="14">
        <v>193.17</v>
      </c>
      <c r="M54" s="14">
        <v>1417.18</v>
      </c>
      <c r="N54" s="14">
        <v>-3.8</v>
      </c>
      <c r="O54" s="5">
        <v>58.0</v>
      </c>
      <c r="P54" s="5">
        <f t="shared" si="1"/>
        <v>2062.211</v>
      </c>
      <c r="Q54" s="5">
        <f t="shared" si="2"/>
        <v>0.15</v>
      </c>
      <c r="R54" s="5">
        <f t="shared" si="3"/>
        <v>0.09</v>
      </c>
      <c r="S54" s="5">
        <f t="shared" si="4"/>
        <v>0.69</v>
      </c>
      <c r="T54" s="5">
        <f t="shared" si="5"/>
        <v>0.07</v>
      </c>
      <c r="U54" s="5">
        <f t="shared" si="6"/>
        <v>0.01521</v>
      </c>
      <c r="V54" s="5">
        <f t="shared" si="11"/>
        <v>0.0336</v>
      </c>
      <c r="W54" s="5">
        <f t="shared" si="7"/>
        <v>0.03374</v>
      </c>
      <c r="X54" s="5">
        <f t="shared" si="8"/>
        <v>0.08625</v>
      </c>
      <c r="Y54" s="5">
        <f t="shared" si="9"/>
        <v>0.17</v>
      </c>
      <c r="Z54" s="5">
        <f t="shared" si="10"/>
        <v>0</v>
      </c>
    </row>
    <row r="55" ht="15.75" customHeight="1">
      <c r="A55" s="6" t="s">
        <v>206</v>
      </c>
      <c r="B55" s="7" t="s">
        <v>453</v>
      </c>
      <c r="C55" s="7" t="s">
        <v>418</v>
      </c>
      <c r="D55" s="7" t="s">
        <v>26</v>
      </c>
      <c r="E55" s="7" t="s">
        <v>455</v>
      </c>
      <c r="F55" s="7">
        <v>377818.297</v>
      </c>
      <c r="G55" s="7">
        <v>9893607.14</v>
      </c>
      <c r="H55" s="20" t="s">
        <v>207</v>
      </c>
      <c r="I55" s="20" t="s">
        <v>208</v>
      </c>
      <c r="J55" s="21">
        <v>363.771</v>
      </c>
      <c r="K55" s="14">
        <v>154.16</v>
      </c>
      <c r="L55" s="14">
        <v>272.22</v>
      </c>
      <c r="M55" s="14">
        <v>1113.09</v>
      </c>
      <c r="N55" s="14">
        <v>-1.0</v>
      </c>
      <c r="O55" s="23">
        <v>59.0</v>
      </c>
      <c r="P55" s="5">
        <f t="shared" si="1"/>
        <v>1903.241</v>
      </c>
      <c r="Q55" s="5">
        <f t="shared" si="2"/>
        <v>0.19</v>
      </c>
      <c r="R55" s="5">
        <f t="shared" si="3"/>
        <v>0.14</v>
      </c>
      <c r="S55" s="5">
        <f t="shared" si="4"/>
        <v>0.58</v>
      </c>
      <c r="T55" s="5">
        <f t="shared" si="5"/>
        <v>0.08</v>
      </c>
      <c r="U55" s="5">
        <f t="shared" si="6"/>
        <v>0.02366</v>
      </c>
      <c r="V55" s="5">
        <f t="shared" si="11"/>
        <v>0.04256</v>
      </c>
      <c r="W55" s="5">
        <f t="shared" si="7"/>
        <v>0.03856</v>
      </c>
      <c r="X55" s="5">
        <f t="shared" si="8"/>
        <v>0.0725</v>
      </c>
      <c r="Y55" s="5">
        <f t="shared" si="9"/>
        <v>0.18</v>
      </c>
      <c r="Z55" s="5">
        <f t="shared" si="10"/>
        <v>1</v>
      </c>
    </row>
    <row r="56" ht="15.75" customHeight="1">
      <c r="A56" s="6" t="s">
        <v>209</v>
      </c>
      <c r="B56" s="7" t="s">
        <v>453</v>
      </c>
      <c r="C56" s="7" t="s">
        <v>418</v>
      </c>
      <c r="D56" s="7" t="s">
        <v>26</v>
      </c>
      <c r="E56" s="7" t="s">
        <v>445</v>
      </c>
      <c r="F56" s="7">
        <v>377517.426</v>
      </c>
      <c r="G56" s="7">
        <v>9893752.786</v>
      </c>
      <c r="H56" s="20" t="s">
        <v>210</v>
      </c>
      <c r="I56" s="20" t="s">
        <v>211</v>
      </c>
      <c r="J56" s="21">
        <v>333.846</v>
      </c>
      <c r="K56" s="14">
        <v>162.67</v>
      </c>
      <c r="L56" s="14">
        <v>246.59</v>
      </c>
      <c r="M56" s="14">
        <v>814.57</v>
      </c>
      <c r="N56" s="14">
        <v>-0.4</v>
      </c>
      <c r="O56" s="5">
        <v>60.0</v>
      </c>
      <c r="P56" s="5">
        <f t="shared" si="1"/>
        <v>1557.676</v>
      </c>
      <c r="Q56" s="5">
        <f t="shared" si="2"/>
        <v>0.21</v>
      </c>
      <c r="R56" s="5">
        <f t="shared" si="3"/>
        <v>0.16</v>
      </c>
      <c r="S56" s="5">
        <f t="shared" si="4"/>
        <v>0.52</v>
      </c>
      <c r="T56" s="5">
        <f t="shared" si="5"/>
        <v>0.1</v>
      </c>
      <c r="U56" s="5">
        <f t="shared" si="6"/>
        <v>0.02704</v>
      </c>
      <c r="V56" s="5">
        <f t="shared" si="11"/>
        <v>0.04704</v>
      </c>
      <c r="W56" s="5">
        <f t="shared" si="7"/>
        <v>0.0482</v>
      </c>
      <c r="X56" s="5">
        <f t="shared" si="8"/>
        <v>0.065</v>
      </c>
      <c r="Y56" s="5">
        <f t="shared" si="9"/>
        <v>0.19</v>
      </c>
      <c r="Z56" s="5">
        <f t="shared" si="10"/>
        <v>1</v>
      </c>
    </row>
    <row r="57" ht="15.75" customHeight="1">
      <c r="A57" s="6" t="s">
        <v>212</v>
      </c>
      <c r="B57" s="7" t="s">
        <v>453</v>
      </c>
      <c r="C57" s="7" t="s">
        <v>418</v>
      </c>
      <c r="D57" s="7" t="s">
        <v>26</v>
      </c>
      <c r="E57" s="7" t="s">
        <v>445</v>
      </c>
      <c r="F57" s="7">
        <v>377196.23</v>
      </c>
      <c r="G57" s="7">
        <v>9894011.562</v>
      </c>
      <c r="H57" s="20" t="s">
        <v>213</v>
      </c>
      <c r="I57" s="20" t="s">
        <v>214</v>
      </c>
      <c r="J57" s="21">
        <v>412.873</v>
      </c>
      <c r="K57" s="14">
        <v>172.83</v>
      </c>
      <c r="L57" s="14">
        <v>552.56</v>
      </c>
      <c r="M57" s="14">
        <v>482.45</v>
      </c>
      <c r="N57" s="14">
        <v>-0.6</v>
      </c>
      <c r="O57" s="23">
        <v>61.0</v>
      </c>
      <c r="P57" s="5">
        <f t="shared" si="1"/>
        <v>1620.713</v>
      </c>
      <c r="Q57" s="5">
        <f t="shared" si="2"/>
        <v>0.25</v>
      </c>
      <c r="R57" s="5">
        <f t="shared" si="3"/>
        <v>0.34</v>
      </c>
      <c r="S57" s="5">
        <f t="shared" si="4"/>
        <v>0.3</v>
      </c>
      <c r="T57" s="5">
        <f t="shared" si="5"/>
        <v>0.11</v>
      </c>
      <c r="U57" s="5">
        <f t="shared" si="6"/>
        <v>0.05746</v>
      </c>
      <c r="V57" s="5">
        <f t="shared" si="11"/>
        <v>0.056</v>
      </c>
      <c r="W57" s="5">
        <f t="shared" si="7"/>
        <v>0.05302</v>
      </c>
      <c r="X57" s="5">
        <f t="shared" si="8"/>
        <v>0.0375</v>
      </c>
      <c r="Y57" s="5">
        <f t="shared" si="9"/>
        <v>0.2</v>
      </c>
      <c r="Z57" s="5">
        <f t="shared" si="10"/>
        <v>1</v>
      </c>
    </row>
    <row r="58" ht="15.75" customHeight="1">
      <c r="A58" s="6" t="s">
        <v>215</v>
      </c>
      <c r="B58" s="7" t="s">
        <v>458</v>
      </c>
      <c r="C58" s="7" t="s">
        <v>418</v>
      </c>
      <c r="D58" s="7" t="s">
        <v>26</v>
      </c>
      <c r="E58" s="7" t="s">
        <v>445</v>
      </c>
      <c r="F58" s="7">
        <v>376981.942</v>
      </c>
      <c r="G58" s="7">
        <v>9894349.898</v>
      </c>
      <c r="H58" s="20" t="s">
        <v>216</v>
      </c>
      <c r="I58" s="20" t="s">
        <v>218</v>
      </c>
      <c r="J58" s="21">
        <v>399.995</v>
      </c>
      <c r="K58" s="14">
        <v>169.52</v>
      </c>
      <c r="L58" s="14">
        <v>910.33</v>
      </c>
      <c r="M58" s="14">
        <v>100.75</v>
      </c>
      <c r="N58" s="14">
        <v>-0.6</v>
      </c>
      <c r="O58" s="5">
        <v>62.0</v>
      </c>
      <c r="P58" s="5">
        <f t="shared" si="1"/>
        <v>1580.595</v>
      </c>
      <c r="Q58" s="5">
        <f t="shared" si="2"/>
        <v>0.25</v>
      </c>
      <c r="R58" s="5">
        <f t="shared" si="3"/>
        <v>0.58</v>
      </c>
      <c r="S58" s="5">
        <f t="shared" si="4"/>
        <v>0.06</v>
      </c>
      <c r="T58" s="5">
        <f t="shared" si="5"/>
        <v>0.11</v>
      </c>
      <c r="U58" s="5">
        <f t="shared" si="6"/>
        <v>0.09802</v>
      </c>
      <c r="V58" s="5">
        <f t="shared" si="11"/>
        <v>0.056</v>
      </c>
      <c r="W58" s="5">
        <f t="shared" si="7"/>
        <v>0.05302</v>
      </c>
      <c r="X58" s="5">
        <f t="shared" si="8"/>
        <v>0.0075</v>
      </c>
      <c r="Y58" s="5">
        <f t="shared" si="9"/>
        <v>0.21</v>
      </c>
      <c r="Z58" s="5">
        <f t="shared" si="10"/>
        <v>1</v>
      </c>
    </row>
    <row r="59" ht="15.75" customHeight="1">
      <c r="A59" s="6" t="s">
        <v>219</v>
      </c>
      <c r="B59" s="7" t="s">
        <v>460</v>
      </c>
      <c r="C59" s="7" t="s">
        <v>461</v>
      </c>
      <c r="D59" s="7" t="s">
        <v>26</v>
      </c>
      <c r="E59" s="7" t="s">
        <v>462</v>
      </c>
      <c r="F59" s="7">
        <v>376796.357</v>
      </c>
      <c r="G59" s="7">
        <v>9894643.116</v>
      </c>
      <c r="H59" s="20" t="s">
        <v>220</v>
      </c>
      <c r="I59" s="20" t="s">
        <v>221</v>
      </c>
      <c r="J59" s="21">
        <v>347.98</v>
      </c>
      <c r="K59" s="14">
        <v>173.22</v>
      </c>
      <c r="L59" s="14">
        <v>893.63</v>
      </c>
      <c r="M59" s="14">
        <v>240.12</v>
      </c>
      <c r="N59" s="14">
        <v>-0.6</v>
      </c>
      <c r="O59" s="23">
        <v>63.0</v>
      </c>
      <c r="P59" s="5">
        <f t="shared" si="1"/>
        <v>1654.95</v>
      </c>
      <c r="Q59" s="5">
        <f t="shared" si="2"/>
        <v>0.21</v>
      </c>
      <c r="R59" s="5">
        <f t="shared" si="3"/>
        <v>0.54</v>
      </c>
      <c r="S59" s="5">
        <f t="shared" si="4"/>
        <v>0.15</v>
      </c>
      <c r="T59" s="5">
        <f t="shared" si="5"/>
        <v>0.1</v>
      </c>
      <c r="U59" s="5">
        <f t="shared" si="6"/>
        <v>0.09126</v>
      </c>
      <c r="V59" s="5">
        <f t="shared" si="11"/>
        <v>0.04704</v>
      </c>
      <c r="W59" s="5">
        <f t="shared" si="7"/>
        <v>0.0482</v>
      </c>
      <c r="X59" s="5">
        <f t="shared" si="8"/>
        <v>0.01875</v>
      </c>
      <c r="Y59" s="5">
        <f t="shared" si="9"/>
        <v>0.21</v>
      </c>
      <c r="Z59" s="5">
        <f t="shared" si="10"/>
        <v>1</v>
      </c>
    </row>
    <row r="60" ht="15.75" customHeight="1">
      <c r="A60" s="6" t="s">
        <v>222</v>
      </c>
      <c r="B60" s="7" t="s">
        <v>460</v>
      </c>
      <c r="C60" s="7" t="s">
        <v>461</v>
      </c>
      <c r="D60" s="7" t="s">
        <v>26</v>
      </c>
      <c r="E60" s="7" t="s">
        <v>445</v>
      </c>
      <c r="F60" s="7">
        <v>376610.917</v>
      </c>
      <c r="G60" s="7">
        <v>9894936.876</v>
      </c>
      <c r="H60" s="20" t="s">
        <v>223</v>
      </c>
      <c r="I60" s="20" t="s">
        <v>224</v>
      </c>
      <c r="J60" s="21">
        <v>346.637</v>
      </c>
      <c r="K60" s="14">
        <v>179.15</v>
      </c>
      <c r="L60" s="14">
        <v>492.15</v>
      </c>
      <c r="M60" s="14">
        <v>522.24</v>
      </c>
      <c r="N60" s="14">
        <v>-0.8</v>
      </c>
      <c r="O60" s="5">
        <v>64.0</v>
      </c>
      <c r="P60" s="5">
        <f t="shared" si="1"/>
        <v>1540.177</v>
      </c>
      <c r="Q60" s="5">
        <f t="shared" si="2"/>
        <v>0.23</v>
      </c>
      <c r="R60" s="5">
        <f t="shared" si="3"/>
        <v>0.32</v>
      </c>
      <c r="S60" s="5">
        <f t="shared" si="4"/>
        <v>0.34</v>
      </c>
      <c r="T60" s="5">
        <f t="shared" si="5"/>
        <v>0.12</v>
      </c>
      <c r="U60" s="5">
        <f t="shared" si="6"/>
        <v>0.05408</v>
      </c>
      <c r="V60" s="5">
        <f t="shared" si="11"/>
        <v>0.05152</v>
      </c>
      <c r="W60" s="5">
        <f t="shared" si="7"/>
        <v>0.05784</v>
      </c>
      <c r="X60" s="5">
        <f t="shared" si="8"/>
        <v>0.0425</v>
      </c>
      <c r="Y60" s="5">
        <f t="shared" si="9"/>
        <v>0.21</v>
      </c>
      <c r="Z60" s="5">
        <f t="shared" si="10"/>
        <v>1</v>
      </c>
    </row>
    <row r="61" ht="15.75" customHeight="1">
      <c r="A61" s="6" t="s">
        <v>225</v>
      </c>
      <c r="B61" s="7" t="s">
        <v>460</v>
      </c>
      <c r="C61" s="7" t="s">
        <v>461</v>
      </c>
      <c r="D61" s="7" t="s">
        <v>26</v>
      </c>
      <c r="E61" s="7" t="s">
        <v>445</v>
      </c>
      <c r="F61" s="7">
        <v>376646.726</v>
      </c>
      <c r="G61" s="7">
        <v>9895221.898</v>
      </c>
      <c r="H61" s="20" t="s">
        <v>226</v>
      </c>
      <c r="I61" s="20" t="s">
        <v>227</v>
      </c>
      <c r="J61" s="21">
        <v>287.379</v>
      </c>
      <c r="K61" s="14">
        <v>176.48</v>
      </c>
      <c r="L61" s="14">
        <v>175.26</v>
      </c>
      <c r="M61" s="14">
        <v>782.84</v>
      </c>
      <c r="N61" s="14"/>
      <c r="O61" s="23">
        <v>65.0</v>
      </c>
      <c r="P61" s="5">
        <f t="shared" si="1"/>
        <v>1421.959</v>
      </c>
      <c r="Q61" s="5">
        <f t="shared" si="2"/>
        <v>0.2</v>
      </c>
      <c r="R61" s="5">
        <f t="shared" si="3"/>
        <v>0.12</v>
      </c>
      <c r="S61" s="5">
        <f t="shared" si="4"/>
        <v>0.55</v>
      </c>
      <c r="T61" s="5">
        <f t="shared" si="5"/>
        <v>0.12</v>
      </c>
      <c r="U61" s="5">
        <f t="shared" si="6"/>
        <v>0.02028</v>
      </c>
      <c r="V61" s="5">
        <f t="shared" si="11"/>
        <v>0.0448</v>
      </c>
      <c r="W61" s="5">
        <f t="shared" si="7"/>
        <v>0.05784</v>
      </c>
      <c r="X61" s="5">
        <f t="shared" si="8"/>
        <v>0.06875</v>
      </c>
      <c r="Y61" s="5">
        <f t="shared" si="9"/>
        <v>0.19</v>
      </c>
      <c r="Z61" s="5">
        <f t="shared" si="10"/>
        <v>1</v>
      </c>
    </row>
    <row r="62" ht="15.75" customHeight="1">
      <c r="A62" s="6" t="s">
        <v>228</v>
      </c>
      <c r="B62" s="7" t="s">
        <v>460</v>
      </c>
      <c r="C62" s="7" t="s">
        <v>461</v>
      </c>
      <c r="D62" s="7" t="s">
        <v>26</v>
      </c>
      <c r="E62" s="7" t="s">
        <v>445</v>
      </c>
      <c r="F62" s="7">
        <v>376781.075</v>
      </c>
      <c r="G62" s="7">
        <v>9895510.951</v>
      </c>
      <c r="H62" s="20" t="s">
        <v>229</v>
      </c>
      <c r="I62" s="20" t="s">
        <v>230</v>
      </c>
      <c r="J62" s="21">
        <v>318.78</v>
      </c>
      <c r="K62" s="14">
        <v>167.39</v>
      </c>
      <c r="L62" s="14">
        <v>47.66</v>
      </c>
      <c r="M62" s="14">
        <v>1051.96</v>
      </c>
      <c r="N62" s="14"/>
      <c r="O62" s="5">
        <v>66.0</v>
      </c>
      <c r="P62" s="5">
        <f t="shared" si="1"/>
        <v>1585.79</v>
      </c>
      <c r="Q62" s="5">
        <f t="shared" si="2"/>
        <v>0.2</v>
      </c>
      <c r="R62" s="5">
        <f t="shared" si="3"/>
        <v>0.03</v>
      </c>
      <c r="S62" s="5">
        <f t="shared" si="4"/>
        <v>0.66</v>
      </c>
      <c r="T62" s="5">
        <f t="shared" si="5"/>
        <v>0.11</v>
      </c>
      <c r="U62" s="5">
        <f t="shared" si="6"/>
        <v>0.00507</v>
      </c>
      <c r="V62" s="5">
        <f t="shared" si="11"/>
        <v>0.0448</v>
      </c>
      <c r="W62" s="5">
        <f t="shared" si="7"/>
        <v>0.05302</v>
      </c>
      <c r="X62" s="5">
        <f t="shared" si="8"/>
        <v>0.0825</v>
      </c>
      <c r="Y62" s="5">
        <f t="shared" si="9"/>
        <v>0.19</v>
      </c>
      <c r="Z62" s="5">
        <f t="shared" si="10"/>
        <v>1</v>
      </c>
    </row>
    <row r="63" ht="15.75" customHeight="1">
      <c r="A63" s="6" t="s">
        <v>231</v>
      </c>
      <c r="B63" s="7" t="s">
        <v>460</v>
      </c>
      <c r="C63" s="7" t="s">
        <v>461</v>
      </c>
      <c r="D63" s="7" t="s">
        <v>26</v>
      </c>
      <c r="E63" s="7" t="s">
        <v>445</v>
      </c>
      <c r="F63" s="7">
        <v>376980.306</v>
      </c>
      <c r="G63" s="7">
        <v>9895778.263</v>
      </c>
      <c r="H63" s="20" t="s">
        <v>233</v>
      </c>
      <c r="I63" s="20" t="s">
        <v>234</v>
      </c>
      <c r="J63" s="21">
        <v>333.356</v>
      </c>
      <c r="K63" s="14">
        <v>161.75</v>
      </c>
      <c r="L63" s="14">
        <v>44.96</v>
      </c>
      <c r="M63" s="14">
        <v>796.44</v>
      </c>
      <c r="N63" s="14"/>
      <c r="O63" s="23">
        <v>67.0</v>
      </c>
      <c r="P63" s="5">
        <f t="shared" si="1"/>
        <v>1336.506</v>
      </c>
      <c r="Q63" s="5">
        <f t="shared" si="2"/>
        <v>0.25</v>
      </c>
      <c r="R63" s="5">
        <f t="shared" si="3"/>
        <v>0.03</v>
      </c>
      <c r="S63" s="5">
        <f t="shared" si="4"/>
        <v>0.6</v>
      </c>
      <c r="T63" s="5">
        <f t="shared" si="5"/>
        <v>0.12</v>
      </c>
      <c r="U63" s="5">
        <f t="shared" si="6"/>
        <v>0.00507</v>
      </c>
      <c r="V63" s="5">
        <f t="shared" si="11"/>
        <v>0.056</v>
      </c>
      <c r="W63" s="5">
        <f t="shared" si="7"/>
        <v>0.05784</v>
      </c>
      <c r="X63" s="5">
        <f t="shared" si="8"/>
        <v>0.075</v>
      </c>
      <c r="Y63" s="5">
        <f t="shared" si="9"/>
        <v>0.19</v>
      </c>
      <c r="Z63" s="5">
        <f t="shared" si="10"/>
        <v>1</v>
      </c>
    </row>
    <row r="64" ht="15.75" customHeight="1">
      <c r="A64" s="6" t="s">
        <v>235</v>
      </c>
      <c r="B64" s="7" t="s">
        <v>460</v>
      </c>
      <c r="C64" s="7" t="s">
        <v>461</v>
      </c>
      <c r="D64" s="7" t="s">
        <v>26</v>
      </c>
      <c r="E64" s="7" t="s">
        <v>445</v>
      </c>
      <c r="F64" s="7">
        <v>377182.307</v>
      </c>
      <c r="G64" s="7">
        <v>9896049.096</v>
      </c>
      <c r="H64" s="20" t="s">
        <v>236</v>
      </c>
      <c r="I64" s="20" t="s">
        <v>237</v>
      </c>
      <c r="J64" s="21">
        <v>337.886</v>
      </c>
      <c r="K64" s="14">
        <v>151.5</v>
      </c>
      <c r="L64" s="14">
        <v>31.84</v>
      </c>
      <c r="M64" s="14">
        <v>984.32</v>
      </c>
      <c r="N64" s="14"/>
      <c r="O64" s="5">
        <v>68.0</v>
      </c>
      <c r="P64" s="5">
        <f t="shared" si="1"/>
        <v>1505.546</v>
      </c>
      <c r="Q64" s="5">
        <f t="shared" si="2"/>
        <v>0.22</v>
      </c>
      <c r="R64" s="5">
        <f t="shared" si="3"/>
        <v>0.02</v>
      </c>
      <c r="S64" s="5">
        <f t="shared" si="4"/>
        <v>0.65</v>
      </c>
      <c r="T64" s="5">
        <f t="shared" si="5"/>
        <v>0.1</v>
      </c>
      <c r="U64" s="5">
        <f t="shared" si="6"/>
        <v>0.00338</v>
      </c>
      <c r="V64" s="5">
        <f t="shared" si="11"/>
        <v>0.04928</v>
      </c>
      <c r="W64" s="5">
        <f t="shared" si="7"/>
        <v>0.0482</v>
      </c>
      <c r="X64" s="5">
        <f t="shared" si="8"/>
        <v>0.08125</v>
      </c>
      <c r="Y64" s="5">
        <f t="shared" si="9"/>
        <v>0.18</v>
      </c>
      <c r="Z64" s="5">
        <f t="shared" si="10"/>
        <v>1</v>
      </c>
    </row>
    <row r="65" ht="15.75" customHeight="1">
      <c r="A65" s="6" t="s">
        <v>238</v>
      </c>
      <c r="B65" s="7" t="s">
        <v>465</v>
      </c>
      <c r="C65" s="7" t="s">
        <v>461</v>
      </c>
      <c r="D65" s="7" t="s">
        <v>26</v>
      </c>
      <c r="E65" s="7" t="s">
        <v>466</v>
      </c>
      <c r="F65" s="7">
        <v>377391.367</v>
      </c>
      <c r="G65" s="7">
        <v>9896329.57</v>
      </c>
      <c r="H65" s="20" t="s">
        <v>239</v>
      </c>
      <c r="I65" s="20" t="s">
        <v>240</v>
      </c>
      <c r="J65" s="21">
        <v>349.751</v>
      </c>
      <c r="K65" s="14">
        <v>142.86</v>
      </c>
      <c r="L65" s="14">
        <v>34.39</v>
      </c>
      <c r="M65" s="14">
        <v>1042.22</v>
      </c>
      <c r="N65" s="14"/>
      <c r="O65" s="23">
        <v>69.0</v>
      </c>
      <c r="P65" s="5">
        <f t="shared" si="1"/>
        <v>1569.221</v>
      </c>
      <c r="Q65" s="5">
        <f t="shared" si="2"/>
        <v>0.22</v>
      </c>
      <c r="R65" s="5">
        <f t="shared" si="3"/>
        <v>0.02</v>
      </c>
      <c r="S65" s="5">
        <f t="shared" si="4"/>
        <v>0.66</v>
      </c>
      <c r="T65" s="5">
        <f t="shared" si="5"/>
        <v>0.09</v>
      </c>
      <c r="U65" s="5">
        <f t="shared" si="6"/>
        <v>0.00338</v>
      </c>
      <c r="V65" s="5">
        <f t="shared" si="11"/>
        <v>0.04928</v>
      </c>
      <c r="W65" s="5">
        <f t="shared" si="7"/>
        <v>0.04338</v>
      </c>
      <c r="X65" s="5">
        <f t="shared" si="8"/>
        <v>0.0825</v>
      </c>
      <c r="Y65" s="5">
        <f t="shared" si="9"/>
        <v>0.18</v>
      </c>
      <c r="Z65" s="5">
        <f t="shared" si="10"/>
        <v>1</v>
      </c>
    </row>
    <row r="66" ht="15.75" customHeight="1">
      <c r="A66" s="6" t="s">
        <v>241</v>
      </c>
      <c r="B66" s="7" t="s">
        <v>465</v>
      </c>
      <c r="C66" s="7" t="s">
        <v>461</v>
      </c>
      <c r="D66" s="7" t="s">
        <v>26</v>
      </c>
      <c r="E66" s="7" t="s">
        <v>466</v>
      </c>
      <c r="F66" s="7">
        <v>377511.56</v>
      </c>
      <c r="G66" s="7">
        <v>9896603.119</v>
      </c>
      <c r="H66" s="20" t="s">
        <v>242</v>
      </c>
      <c r="I66" s="20" t="s">
        <v>243</v>
      </c>
      <c r="J66" s="21">
        <v>298.841</v>
      </c>
      <c r="K66" s="14">
        <v>133.89</v>
      </c>
      <c r="L66" s="14">
        <v>40.27</v>
      </c>
      <c r="M66" s="14">
        <v>1231.06</v>
      </c>
      <c r="N66" s="14">
        <v>-0.6</v>
      </c>
      <c r="O66" s="5">
        <v>65.0</v>
      </c>
      <c r="P66" s="5">
        <f t="shared" si="1"/>
        <v>1704.061</v>
      </c>
      <c r="Q66" s="5">
        <f t="shared" si="2"/>
        <v>0.18</v>
      </c>
      <c r="R66" s="5">
        <f t="shared" si="3"/>
        <v>0.02</v>
      </c>
      <c r="S66" s="5">
        <f t="shared" si="4"/>
        <v>0.72</v>
      </c>
      <c r="T66" s="5">
        <f t="shared" si="5"/>
        <v>0.08</v>
      </c>
      <c r="U66" s="5">
        <f t="shared" si="6"/>
        <v>0.00338</v>
      </c>
      <c r="V66" s="5">
        <f t="shared" si="11"/>
        <v>0.04032</v>
      </c>
      <c r="W66" s="5">
        <f t="shared" si="7"/>
        <v>0.03856</v>
      </c>
      <c r="X66" s="5">
        <f t="shared" si="8"/>
        <v>0.09</v>
      </c>
      <c r="Y66" s="5">
        <f t="shared" si="9"/>
        <v>0.17</v>
      </c>
      <c r="Z66" s="5">
        <f t="shared" si="10"/>
        <v>0</v>
      </c>
    </row>
    <row r="67" ht="15.75" customHeight="1">
      <c r="A67" s="6" t="s">
        <v>245</v>
      </c>
      <c r="B67" s="7" t="s">
        <v>465</v>
      </c>
      <c r="C67" s="7" t="s">
        <v>461</v>
      </c>
      <c r="D67" s="7" t="s">
        <v>26</v>
      </c>
      <c r="E67" s="7" t="s">
        <v>452</v>
      </c>
      <c r="F67" s="7">
        <v>377415.93</v>
      </c>
      <c r="G67" s="7">
        <v>9896886.231</v>
      </c>
      <c r="H67" s="20" t="s">
        <v>246</v>
      </c>
      <c r="I67" s="20" t="s">
        <v>247</v>
      </c>
      <c r="J67" s="21">
        <v>308.597</v>
      </c>
      <c r="K67" s="14">
        <v>131.57</v>
      </c>
      <c r="L67" s="14">
        <v>29.43</v>
      </c>
      <c r="M67" s="14">
        <v>1418.06</v>
      </c>
      <c r="N67" s="14">
        <v>-0.8</v>
      </c>
      <c r="O67" s="23">
        <v>66.0</v>
      </c>
      <c r="P67" s="5">
        <f t="shared" si="1"/>
        <v>1887.657</v>
      </c>
      <c r="Q67" s="5">
        <f t="shared" si="2"/>
        <v>0.16</v>
      </c>
      <c r="R67" s="5">
        <f t="shared" si="3"/>
        <v>0.02</v>
      </c>
      <c r="S67" s="5">
        <f t="shared" si="4"/>
        <v>0.75</v>
      </c>
      <c r="T67" s="5">
        <f t="shared" si="5"/>
        <v>0.07</v>
      </c>
      <c r="U67" s="5">
        <f t="shared" si="6"/>
        <v>0.00338</v>
      </c>
      <c r="V67" s="5">
        <f t="shared" si="11"/>
        <v>0.03584</v>
      </c>
      <c r="W67" s="5">
        <f t="shared" si="7"/>
        <v>0.03374</v>
      </c>
      <c r="X67" s="5">
        <f t="shared" si="8"/>
        <v>0.09375</v>
      </c>
      <c r="Y67" s="5">
        <f t="shared" si="9"/>
        <v>0.17</v>
      </c>
      <c r="Z67" s="5">
        <f t="shared" si="10"/>
        <v>0</v>
      </c>
    </row>
    <row r="68" ht="15.75" customHeight="1">
      <c r="A68" s="6" t="s">
        <v>248</v>
      </c>
      <c r="B68" s="7" t="s">
        <v>467</v>
      </c>
      <c r="C68" s="7" t="s">
        <v>461</v>
      </c>
      <c r="D68" s="7" t="s">
        <v>26</v>
      </c>
      <c r="E68" s="7" t="s">
        <v>470</v>
      </c>
      <c r="F68" s="7">
        <v>377142.08</v>
      </c>
      <c r="G68" s="7">
        <v>9897136.716</v>
      </c>
      <c r="H68" s="20" t="s">
        <v>249</v>
      </c>
      <c r="I68" s="20" t="s">
        <v>250</v>
      </c>
      <c r="J68" s="21">
        <v>331.696</v>
      </c>
      <c r="K68" s="14">
        <v>123.89</v>
      </c>
      <c r="L68" s="14">
        <v>48.15</v>
      </c>
      <c r="M68" s="14">
        <v>1554.84</v>
      </c>
      <c r="N68" s="14">
        <v>-2.8</v>
      </c>
      <c r="O68" s="5">
        <v>67.0</v>
      </c>
      <c r="P68" s="5">
        <f t="shared" si="1"/>
        <v>2058.576</v>
      </c>
      <c r="Q68" s="5">
        <f t="shared" si="2"/>
        <v>0.16</v>
      </c>
      <c r="R68" s="5">
        <f t="shared" si="3"/>
        <v>0.02</v>
      </c>
      <c r="S68" s="5">
        <f t="shared" si="4"/>
        <v>0.76</v>
      </c>
      <c r="T68" s="5">
        <f t="shared" si="5"/>
        <v>0.06</v>
      </c>
      <c r="U68" s="5">
        <f t="shared" si="6"/>
        <v>0.00338</v>
      </c>
      <c r="V68" s="5">
        <f t="shared" si="11"/>
        <v>0.03584</v>
      </c>
      <c r="W68" s="5">
        <f t="shared" si="7"/>
        <v>0.02892</v>
      </c>
      <c r="X68" s="5">
        <f t="shared" si="8"/>
        <v>0.095</v>
      </c>
      <c r="Y68" s="5">
        <f t="shared" si="9"/>
        <v>0.16</v>
      </c>
      <c r="Z68" s="5">
        <f t="shared" si="10"/>
        <v>0</v>
      </c>
    </row>
    <row r="69" ht="15.75" customHeight="1">
      <c r="A69" s="6" t="s">
        <v>251</v>
      </c>
      <c r="B69" s="7" t="s">
        <v>467</v>
      </c>
      <c r="C69" s="7" t="s">
        <v>461</v>
      </c>
      <c r="D69" s="7" t="s">
        <v>26</v>
      </c>
      <c r="E69" s="7" t="s">
        <v>470</v>
      </c>
      <c r="F69" s="7">
        <v>376942.892</v>
      </c>
      <c r="G69" s="7">
        <v>9897305.644</v>
      </c>
      <c r="H69" s="20" t="s">
        <v>252</v>
      </c>
      <c r="I69" s="20" t="s">
        <v>253</v>
      </c>
      <c r="J69" s="21">
        <v>372.224</v>
      </c>
      <c r="K69" s="14">
        <v>125.01</v>
      </c>
      <c r="L69" s="14">
        <v>46.15</v>
      </c>
      <c r="M69" s="14">
        <v>2023.7</v>
      </c>
      <c r="N69" s="14">
        <v>-0.8</v>
      </c>
      <c r="O69" s="23">
        <v>68.0</v>
      </c>
      <c r="P69" s="5">
        <f t="shared" si="1"/>
        <v>2567.084</v>
      </c>
      <c r="Q69" s="5">
        <f t="shared" si="2"/>
        <v>0.14</v>
      </c>
      <c r="R69" s="5">
        <f t="shared" si="3"/>
        <v>0.02</v>
      </c>
      <c r="S69" s="5">
        <f t="shared" si="4"/>
        <v>0.79</v>
      </c>
      <c r="T69" s="5">
        <f t="shared" si="5"/>
        <v>0.05</v>
      </c>
      <c r="U69" s="5">
        <f t="shared" si="6"/>
        <v>0.00338</v>
      </c>
      <c r="V69" s="5">
        <f t="shared" si="11"/>
        <v>0.03136</v>
      </c>
      <c r="W69" s="5">
        <f t="shared" si="7"/>
        <v>0.0241</v>
      </c>
      <c r="X69" s="5">
        <f t="shared" si="8"/>
        <v>0.09875</v>
      </c>
      <c r="Y69" s="5">
        <f t="shared" si="9"/>
        <v>0.16</v>
      </c>
      <c r="Z69" s="5">
        <f t="shared" si="10"/>
        <v>0</v>
      </c>
    </row>
    <row r="70" ht="15.75" customHeight="1">
      <c r="A70" s="6" t="s">
        <v>254</v>
      </c>
      <c r="B70" s="7" t="s">
        <v>467</v>
      </c>
      <c r="C70" s="7" t="s">
        <v>461</v>
      </c>
      <c r="D70" s="7" t="s">
        <v>26</v>
      </c>
      <c r="E70" s="7" t="s">
        <v>470</v>
      </c>
      <c r="F70" s="7">
        <v>376663.573</v>
      </c>
      <c r="G70" s="7">
        <v>9897542.642</v>
      </c>
      <c r="H70" s="20" t="s">
        <v>255</v>
      </c>
      <c r="I70" s="20" t="s">
        <v>256</v>
      </c>
      <c r="J70" s="21">
        <v>365.679</v>
      </c>
      <c r="K70" s="14">
        <v>123.47</v>
      </c>
      <c r="L70" s="14">
        <v>41.08</v>
      </c>
      <c r="M70" s="14">
        <v>2436.18</v>
      </c>
      <c r="N70" s="14">
        <v>-0.8</v>
      </c>
      <c r="O70" s="5">
        <v>69.0</v>
      </c>
      <c r="P70" s="5">
        <f t="shared" si="1"/>
        <v>2966.409</v>
      </c>
      <c r="Q70" s="5">
        <f t="shared" si="2"/>
        <v>0.12</v>
      </c>
      <c r="R70" s="5">
        <f t="shared" si="3"/>
        <v>0.01</v>
      </c>
      <c r="S70" s="5">
        <f t="shared" si="4"/>
        <v>0.82</v>
      </c>
      <c r="T70" s="5">
        <f t="shared" si="5"/>
        <v>0.04</v>
      </c>
      <c r="U70" s="5">
        <f t="shared" si="6"/>
        <v>0.00169</v>
      </c>
      <c r="V70" s="5">
        <f t="shared" si="11"/>
        <v>0.02688</v>
      </c>
      <c r="W70" s="5">
        <f t="shared" si="7"/>
        <v>0.01928</v>
      </c>
      <c r="X70" s="5">
        <f t="shared" si="8"/>
        <v>0.1025</v>
      </c>
      <c r="Y70" s="5">
        <f t="shared" si="9"/>
        <v>0.15</v>
      </c>
      <c r="Z70" s="5">
        <f t="shared" si="10"/>
        <v>0</v>
      </c>
    </row>
    <row r="71" ht="15.75" customHeight="1">
      <c r="A71" s="6" t="s">
        <v>257</v>
      </c>
      <c r="B71" s="7" t="s">
        <v>467</v>
      </c>
      <c r="C71" s="7" t="s">
        <v>461</v>
      </c>
      <c r="D71" s="7" t="s">
        <v>26</v>
      </c>
      <c r="E71" s="7" t="s">
        <v>470</v>
      </c>
      <c r="F71" s="7">
        <v>376374.695</v>
      </c>
      <c r="G71" s="7">
        <v>9897787.733</v>
      </c>
      <c r="H71" s="20" t="s">
        <v>258</v>
      </c>
      <c r="I71" s="20" t="s">
        <v>259</v>
      </c>
      <c r="J71" s="21">
        <v>378.865</v>
      </c>
      <c r="K71" s="14">
        <v>118.03</v>
      </c>
      <c r="L71" s="14">
        <v>32.87</v>
      </c>
      <c r="M71" s="14">
        <v>2824.39</v>
      </c>
      <c r="N71" s="14">
        <v>-2.6</v>
      </c>
      <c r="O71" s="23">
        <v>70.0</v>
      </c>
      <c r="P71" s="5">
        <f t="shared" si="1"/>
        <v>3354.155</v>
      </c>
      <c r="Q71" s="5">
        <f t="shared" si="2"/>
        <v>0.11</v>
      </c>
      <c r="R71" s="5">
        <f t="shared" si="3"/>
        <v>0.01</v>
      </c>
      <c r="S71" s="5">
        <f t="shared" si="4"/>
        <v>0.84</v>
      </c>
      <c r="T71" s="5">
        <f t="shared" si="5"/>
        <v>0.04</v>
      </c>
      <c r="U71" s="5">
        <f t="shared" si="6"/>
        <v>0.00169</v>
      </c>
      <c r="V71" s="5">
        <f t="shared" si="11"/>
        <v>0.02464</v>
      </c>
      <c r="W71" s="5">
        <f t="shared" si="7"/>
        <v>0.01928</v>
      </c>
      <c r="X71" s="5">
        <f t="shared" si="8"/>
        <v>0.105</v>
      </c>
      <c r="Y71" s="5">
        <f t="shared" si="9"/>
        <v>0.15</v>
      </c>
      <c r="Z71" s="5">
        <f t="shared" si="10"/>
        <v>0</v>
      </c>
    </row>
    <row r="72" ht="15.75" customHeight="1">
      <c r="A72" s="6" t="s">
        <v>260</v>
      </c>
      <c r="B72" s="7" t="s">
        <v>467</v>
      </c>
      <c r="C72" s="7" t="s">
        <v>461</v>
      </c>
      <c r="D72" s="7" t="s">
        <v>26</v>
      </c>
      <c r="E72" s="7" t="s">
        <v>123</v>
      </c>
      <c r="F72" s="7">
        <v>376095.231</v>
      </c>
      <c r="G72" s="7">
        <v>9898024.828</v>
      </c>
      <c r="H72" s="20" t="s">
        <v>261</v>
      </c>
      <c r="I72" s="20" t="s">
        <v>262</v>
      </c>
      <c r="J72" s="21">
        <v>381.514</v>
      </c>
      <c r="K72" s="14">
        <v>117.08</v>
      </c>
      <c r="L72" s="14">
        <v>31.62</v>
      </c>
      <c r="M72" s="14">
        <v>3188.99</v>
      </c>
      <c r="N72" s="14">
        <v>-0.6</v>
      </c>
      <c r="O72" s="5">
        <v>71.0</v>
      </c>
      <c r="P72" s="5">
        <f t="shared" si="1"/>
        <v>3719.204</v>
      </c>
      <c r="Q72" s="5">
        <f t="shared" si="2"/>
        <v>0.1</v>
      </c>
      <c r="R72" s="5">
        <f t="shared" si="3"/>
        <v>0.01</v>
      </c>
      <c r="S72" s="5">
        <f t="shared" si="4"/>
        <v>0.86</v>
      </c>
      <c r="T72" s="5">
        <f t="shared" si="5"/>
        <v>0.03</v>
      </c>
      <c r="U72" s="5">
        <f t="shared" si="6"/>
        <v>0.00169</v>
      </c>
      <c r="V72" s="5">
        <f t="shared" si="11"/>
        <v>0.0224</v>
      </c>
      <c r="W72" s="5">
        <f t="shared" si="7"/>
        <v>0.01446</v>
      </c>
      <c r="X72" s="5">
        <f t="shared" si="8"/>
        <v>0.1075</v>
      </c>
      <c r="Y72" s="5">
        <f t="shared" si="9"/>
        <v>0.15</v>
      </c>
      <c r="Z72" s="5">
        <f t="shared" si="10"/>
        <v>0</v>
      </c>
    </row>
    <row r="73" ht="15.75" customHeight="1">
      <c r="A73" s="6" t="s">
        <v>263</v>
      </c>
      <c r="B73" s="7" t="s">
        <v>467</v>
      </c>
      <c r="C73" s="7" t="s">
        <v>461</v>
      </c>
      <c r="D73" s="7" t="s">
        <v>26</v>
      </c>
      <c r="E73" s="7" t="s">
        <v>470</v>
      </c>
      <c r="F73" s="7">
        <v>375791.536</v>
      </c>
      <c r="G73" s="7">
        <v>9898282.452</v>
      </c>
      <c r="H73" s="20" t="s">
        <v>264</v>
      </c>
      <c r="I73" s="20" t="s">
        <v>265</v>
      </c>
      <c r="J73" s="21">
        <v>383.25</v>
      </c>
      <c r="K73" s="14">
        <v>113.06</v>
      </c>
      <c r="L73" s="14">
        <v>24.14</v>
      </c>
      <c r="M73" s="14">
        <v>3537.71</v>
      </c>
      <c r="N73" s="14">
        <v>-2.8</v>
      </c>
      <c r="O73" s="23">
        <v>72.0</v>
      </c>
      <c r="P73" s="5">
        <f t="shared" si="1"/>
        <v>4058.16</v>
      </c>
      <c r="Q73" s="5">
        <f t="shared" si="2"/>
        <v>0.09</v>
      </c>
      <c r="R73" s="5">
        <f t="shared" si="3"/>
        <v>0.01</v>
      </c>
      <c r="S73" s="5">
        <f t="shared" si="4"/>
        <v>0.87</v>
      </c>
      <c r="T73" s="5">
        <f t="shared" si="5"/>
        <v>0.03</v>
      </c>
      <c r="U73" s="5">
        <f t="shared" si="6"/>
        <v>0.00169</v>
      </c>
      <c r="V73" s="5">
        <f t="shared" si="11"/>
        <v>0.02016</v>
      </c>
      <c r="W73" s="5">
        <f t="shared" si="7"/>
        <v>0.01446</v>
      </c>
      <c r="X73" s="5">
        <f t="shared" si="8"/>
        <v>0.10875</v>
      </c>
      <c r="Y73" s="5">
        <f t="shared" si="9"/>
        <v>0.15</v>
      </c>
      <c r="Z73" s="5">
        <f t="shared" si="10"/>
        <v>0</v>
      </c>
    </row>
    <row r="74" ht="15.75" customHeight="1">
      <c r="A74" s="6" t="s">
        <v>266</v>
      </c>
      <c r="B74" s="7" t="s">
        <v>467</v>
      </c>
      <c r="C74" s="7" t="s">
        <v>461</v>
      </c>
      <c r="D74" s="7" t="s">
        <v>26</v>
      </c>
      <c r="E74" s="7" t="s">
        <v>470</v>
      </c>
      <c r="F74" s="7">
        <v>375500.846</v>
      </c>
      <c r="G74" s="7">
        <v>9898529.019</v>
      </c>
      <c r="H74" s="20" t="s">
        <v>267</v>
      </c>
      <c r="I74" s="20" t="s">
        <v>268</v>
      </c>
      <c r="J74" s="21">
        <v>381.155</v>
      </c>
      <c r="K74" s="14">
        <v>104.87</v>
      </c>
      <c r="L74" s="14">
        <v>33.4</v>
      </c>
      <c r="M74" s="14">
        <v>142.84</v>
      </c>
      <c r="N74" s="14">
        <v>-3.0</v>
      </c>
      <c r="O74" s="5">
        <v>73.0</v>
      </c>
      <c r="P74" s="5">
        <f t="shared" si="1"/>
        <v>662.265</v>
      </c>
      <c r="Q74" s="5">
        <f t="shared" si="2"/>
        <v>0.58</v>
      </c>
      <c r="R74" s="5">
        <f t="shared" si="3"/>
        <v>0.05</v>
      </c>
      <c r="S74" s="5">
        <f t="shared" si="4"/>
        <v>0.22</v>
      </c>
      <c r="T74" s="5">
        <f t="shared" si="5"/>
        <v>0.16</v>
      </c>
      <c r="U74" s="5">
        <f t="shared" si="6"/>
        <v>0.00845</v>
      </c>
      <c r="V74" s="5">
        <f t="shared" si="11"/>
        <v>0.12992</v>
      </c>
      <c r="W74" s="5">
        <f t="shared" si="7"/>
        <v>0.07712</v>
      </c>
      <c r="X74" s="5">
        <f t="shared" si="8"/>
        <v>0.0275</v>
      </c>
      <c r="Y74" s="5">
        <f t="shared" si="9"/>
        <v>0.24</v>
      </c>
      <c r="Z74" s="5">
        <f t="shared" si="10"/>
        <v>1</v>
      </c>
    </row>
    <row r="75" ht="15.75" customHeight="1">
      <c r="A75" s="6" t="s">
        <v>269</v>
      </c>
      <c r="B75" s="7" t="s">
        <v>471</v>
      </c>
      <c r="C75" s="7" t="s">
        <v>461</v>
      </c>
      <c r="D75" s="7" t="s">
        <v>26</v>
      </c>
      <c r="E75" s="7" t="s">
        <v>470</v>
      </c>
      <c r="F75" s="7">
        <v>375270.18</v>
      </c>
      <c r="G75" s="7">
        <v>9898850.623</v>
      </c>
      <c r="H75" s="20" t="s">
        <v>270</v>
      </c>
      <c r="I75" s="20" t="s">
        <v>271</v>
      </c>
      <c r="J75" s="21">
        <v>383.945</v>
      </c>
      <c r="K75" s="14">
        <v>99.0</v>
      </c>
      <c r="L75" s="14">
        <v>137.61</v>
      </c>
      <c r="M75" s="14">
        <v>2883.78</v>
      </c>
      <c r="N75" s="14">
        <v>-0.8</v>
      </c>
      <c r="O75" s="23">
        <v>74.0</v>
      </c>
      <c r="P75" s="5">
        <f t="shared" si="1"/>
        <v>3504.335</v>
      </c>
      <c r="Q75" s="5">
        <f t="shared" si="2"/>
        <v>0.11</v>
      </c>
      <c r="R75" s="5">
        <f t="shared" si="3"/>
        <v>0.04</v>
      </c>
      <c r="S75" s="5">
        <f t="shared" si="4"/>
        <v>0.82</v>
      </c>
      <c r="T75" s="5">
        <f t="shared" si="5"/>
        <v>0.03</v>
      </c>
      <c r="U75" s="5">
        <f t="shared" si="6"/>
        <v>0.00676</v>
      </c>
      <c r="V75" s="5">
        <f t="shared" si="11"/>
        <v>0.02464</v>
      </c>
      <c r="W75" s="5">
        <f t="shared" si="7"/>
        <v>0.01446</v>
      </c>
      <c r="X75" s="5">
        <f t="shared" si="8"/>
        <v>0.1025</v>
      </c>
      <c r="Y75" s="5">
        <f t="shared" si="9"/>
        <v>0.15</v>
      </c>
      <c r="Z75" s="5">
        <f t="shared" si="10"/>
        <v>0</v>
      </c>
    </row>
    <row r="76" ht="15.75" customHeight="1">
      <c r="A76" s="6" t="s">
        <v>273</v>
      </c>
      <c r="B76" s="7" t="s">
        <v>471</v>
      </c>
      <c r="C76" s="7" t="s">
        <v>461</v>
      </c>
      <c r="D76" s="7" t="s">
        <v>26</v>
      </c>
      <c r="E76" s="7" t="s">
        <v>470</v>
      </c>
      <c r="F76" s="7">
        <v>374978.839</v>
      </c>
      <c r="G76" s="7">
        <v>9899097.73</v>
      </c>
      <c r="H76" s="20" t="s">
        <v>274</v>
      </c>
      <c r="I76" s="20" t="s">
        <v>275</v>
      </c>
      <c r="J76" s="21">
        <v>382.023</v>
      </c>
      <c r="K76" s="14">
        <v>93.39</v>
      </c>
      <c r="L76" s="14">
        <v>137.62</v>
      </c>
      <c r="M76" s="14">
        <v>2628.44</v>
      </c>
      <c r="N76" s="14">
        <v>-0.8</v>
      </c>
      <c r="O76" s="5">
        <v>75.0</v>
      </c>
      <c r="P76" s="5">
        <f t="shared" si="1"/>
        <v>3241.473</v>
      </c>
      <c r="Q76" s="5">
        <f t="shared" si="2"/>
        <v>0.12</v>
      </c>
      <c r="R76" s="5">
        <f t="shared" si="3"/>
        <v>0.04</v>
      </c>
      <c r="S76" s="5">
        <f t="shared" si="4"/>
        <v>0.81</v>
      </c>
      <c r="T76" s="5">
        <f t="shared" si="5"/>
        <v>0.03</v>
      </c>
      <c r="U76" s="5">
        <f t="shared" si="6"/>
        <v>0.00676</v>
      </c>
      <c r="V76" s="5">
        <f t="shared" si="11"/>
        <v>0.02688</v>
      </c>
      <c r="W76" s="5">
        <f t="shared" si="7"/>
        <v>0.01446</v>
      </c>
      <c r="X76" s="5">
        <f t="shared" si="8"/>
        <v>0.10125</v>
      </c>
      <c r="Y76" s="5">
        <f t="shared" si="9"/>
        <v>0.15</v>
      </c>
      <c r="Z76" s="5">
        <f t="shared" si="10"/>
        <v>0</v>
      </c>
    </row>
    <row r="77" ht="15.75" customHeight="1">
      <c r="A77" s="6" t="s">
        <v>276</v>
      </c>
      <c r="B77" s="7" t="s">
        <v>471</v>
      </c>
      <c r="C77" s="7" t="s">
        <v>461</v>
      </c>
      <c r="D77" s="7" t="s">
        <v>26</v>
      </c>
      <c r="E77" s="7" t="s">
        <v>123</v>
      </c>
      <c r="F77" s="7">
        <v>374687.519</v>
      </c>
      <c r="G77" s="7">
        <v>9899344.888</v>
      </c>
      <c r="H77" s="20" t="s">
        <v>278</v>
      </c>
      <c r="I77" s="20" t="s">
        <v>279</v>
      </c>
      <c r="J77" s="21">
        <v>382.022</v>
      </c>
      <c r="K77" s="14">
        <v>90.62</v>
      </c>
      <c r="L77" s="14">
        <v>141.41</v>
      </c>
      <c r="M77" s="14">
        <v>2462.63</v>
      </c>
      <c r="N77" s="14">
        <v>-0.8</v>
      </c>
      <c r="O77" s="23">
        <v>76.0</v>
      </c>
      <c r="P77" s="5">
        <f t="shared" si="1"/>
        <v>3076.682</v>
      </c>
      <c r="Q77" s="5">
        <f t="shared" si="2"/>
        <v>0.12</v>
      </c>
      <c r="R77" s="5">
        <f t="shared" si="3"/>
        <v>0.05</v>
      </c>
      <c r="S77" s="5">
        <f t="shared" si="4"/>
        <v>0.8</v>
      </c>
      <c r="T77" s="5">
        <f t="shared" si="5"/>
        <v>0.03</v>
      </c>
      <c r="U77" s="5">
        <f t="shared" si="6"/>
        <v>0.00845</v>
      </c>
      <c r="V77" s="5">
        <f t="shared" si="11"/>
        <v>0.02688</v>
      </c>
      <c r="W77" s="5">
        <f t="shared" si="7"/>
        <v>0.01446</v>
      </c>
      <c r="X77" s="5">
        <f t="shared" si="8"/>
        <v>0.1</v>
      </c>
      <c r="Y77" s="5">
        <f t="shared" si="9"/>
        <v>0.15</v>
      </c>
      <c r="Z77" s="5">
        <f t="shared" si="10"/>
        <v>0</v>
      </c>
    </row>
    <row r="78" ht="15.75" customHeight="1">
      <c r="A78" s="6" t="s">
        <v>280</v>
      </c>
      <c r="B78" s="7" t="s">
        <v>471</v>
      </c>
      <c r="C78" s="7" t="s">
        <v>461</v>
      </c>
      <c r="D78" s="7" t="s">
        <v>26</v>
      </c>
      <c r="E78" s="7" t="s">
        <v>123</v>
      </c>
      <c r="F78" s="7">
        <v>374402.765</v>
      </c>
      <c r="G78" s="7">
        <v>9899586.469</v>
      </c>
      <c r="H78" s="20" t="s">
        <v>281</v>
      </c>
      <c r="I78" s="20" t="s">
        <v>282</v>
      </c>
      <c r="J78" s="21">
        <v>373.46</v>
      </c>
      <c r="K78" s="14">
        <v>87.75</v>
      </c>
      <c r="L78" s="14">
        <v>143.04</v>
      </c>
      <c r="M78" s="14">
        <v>2435.17</v>
      </c>
      <c r="N78" s="14">
        <v>-3.6</v>
      </c>
      <c r="O78" s="5">
        <v>77.0</v>
      </c>
      <c r="P78" s="5">
        <f t="shared" si="1"/>
        <v>3039.42</v>
      </c>
      <c r="Q78" s="5">
        <f t="shared" si="2"/>
        <v>0.12</v>
      </c>
      <c r="R78" s="5">
        <f t="shared" si="3"/>
        <v>0.05</v>
      </c>
      <c r="S78" s="5">
        <f t="shared" si="4"/>
        <v>0.8</v>
      </c>
      <c r="T78" s="5">
        <f t="shared" si="5"/>
        <v>0.03</v>
      </c>
      <c r="U78" s="5">
        <f t="shared" si="6"/>
        <v>0.00845</v>
      </c>
      <c r="V78" s="5">
        <f t="shared" si="11"/>
        <v>0.02688</v>
      </c>
      <c r="W78" s="5">
        <f t="shared" si="7"/>
        <v>0.01446</v>
      </c>
      <c r="X78" s="5">
        <f t="shared" si="8"/>
        <v>0.1</v>
      </c>
      <c r="Y78" s="5">
        <f t="shared" si="9"/>
        <v>0.15</v>
      </c>
      <c r="Z78" s="5">
        <f t="shared" si="10"/>
        <v>0</v>
      </c>
    </row>
    <row r="79" ht="15.75" customHeight="1">
      <c r="A79" s="6" t="s">
        <v>283</v>
      </c>
      <c r="B79" s="7" t="s">
        <v>471</v>
      </c>
      <c r="C79" s="7" t="s">
        <v>461</v>
      </c>
      <c r="D79" s="7" t="s">
        <v>26</v>
      </c>
      <c r="E79" s="7" t="s">
        <v>123</v>
      </c>
      <c r="F79" s="7">
        <v>374119.658</v>
      </c>
      <c r="G79" s="7">
        <v>9899826.642</v>
      </c>
      <c r="H79" s="20" t="s">
        <v>285</v>
      </c>
      <c r="I79" s="20" t="s">
        <v>286</v>
      </c>
      <c r="J79" s="21">
        <v>371.198</v>
      </c>
      <c r="K79" s="14">
        <v>84.03</v>
      </c>
      <c r="L79" s="14">
        <v>143.97</v>
      </c>
      <c r="M79" s="14">
        <v>2175.36</v>
      </c>
      <c r="N79" s="14">
        <v>-3.4</v>
      </c>
      <c r="O79" s="23">
        <v>78.0</v>
      </c>
      <c r="P79" s="5">
        <f t="shared" si="1"/>
        <v>2774.558</v>
      </c>
      <c r="Q79" s="5">
        <f t="shared" si="2"/>
        <v>0.13</v>
      </c>
      <c r="R79" s="5">
        <f t="shared" si="3"/>
        <v>0.05</v>
      </c>
      <c r="S79" s="5">
        <f t="shared" si="4"/>
        <v>0.78</v>
      </c>
      <c r="T79" s="5">
        <f t="shared" si="5"/>
        <v>0.03</v>
      </c>
      <c r="U79" s="5">
        <f t="shared" si="6"/>
        <v>0.00845</v>
      </c>
      <c r="V79" s="5">
        <f t="shared" si="11"/>
        <v>0.02912</v>
      </c>
      <c r="W79" s="5">
        <f t="shared" si="7"/>
        <v>0.01446</v>
      </c>
      <c r="X79" s="5">
        <f t="shared" si="8"/>
        <v>0.0975</v>
      </c>
      <c r="Y79" s="5">
        <f t="shared" si="9"/>
        <v>0.15</v>
      </c>
      <c r="Z79" s="5">
        <f t="shared" si="10"/>
        <v>0</v>
      </c>
    </row>
    <row r="80" ht="15.75" customHeight="1">
      <c r="A80" s="6" t="s">
        <v>287</v>
      </c>
      <c r="B80" s="7" t="s">
        <v>471</v>
      </c>
      <c r="C80" s="7" t="s">
        <v>461</v>
      </c>
      <c r="D80" s="7" t="s">
        <v>26</v>
      </c>
      <c r="E80" s="7" t="s">
        <v>445</v>
      </c>
      <c r="F80" s="7">
        <v>373878.694</v>
      </c>
      <c r="G80" s="7">
        <v>9900031.028</v>
      </c>
      <c r="H80" s="20" t="s">
        <v>288</v>
      </c>
      <c r="I80" s="20" t="s">
        <v>289</v>
      </c>
      <c r="J80" s="21">
        <v>316.007</v>
      </c>
      <c r="K80" s="14">
        <v>79.67</v>
      </c>
      <c r="L80" s="14">
        <v>122.04</v>
      </c>
      <c r="M80" s="14">
        <v>161.45</v>
      </c>
      <c r="N80" s="14">
        <v>-2.8</v>
      </c>
      <c r="O80" s="5">
        <v>79.0</v>
      </c>
      <c r="P80" s="5">
        <f t="shared" si="1"/>
        <v>679.167</v>
      </c>
      <c r="Q80" s="5">
        <f t="shared" si="2"/>
        <v>0.47</v>
      </c>
      <c r="R80" s="5">
        <f t="shared" si="3"/>
        <v>0.18</v>
      </c>
      <c r="S80" s="5">
        <f t="shared" si="4"/>
        <v>0.24</v>
      </c>
      <c r="T80" s="5">
        <f t="shared" si="5"/>
        <v>0.12</v>
      </c>
      <c r="U80" s="5">
        <f t="shared" si="6"/>
        <v>0.03042</v>
      </c>
      <c r="V80" s="5">
        <f t="shared" si="11"/>
        <v>0.10528</v>
      </c>
      <c r="W80" s="5">
        <f t="shared" si="7"/>
        <v>0.05784</v>
      </c>
      <c r="X80" s="5">
        <f t="shared" si="8"/>
        <v>0.03</v>
      </c>
      <c r="Y80" s="5">
        <f t="shared" si="9"/>
        <v>0.22</v>
      </c>
      <c r="Z80" s="5">
        <f t="shared" si="10"/>
        <v>1</v>
      </c>
    </row>
    <row r="81" ht="15.75" customHeight="1">
      <c r="A81" s="6" t="s">
        <v>290</v>
      </c>
      <c r="B81" s="7" t="s">
        <v>471</v>
      </c>
      <c r="C81" s="7" t="s">
        <v>461</v>
      </c>
      <c r="D81" s="7" t="s">
        <v>26</v>
      </c>
      <c r="E81" s="7" t="s">
        <v>445</v>
      </c>
      <c r="F81" s="7">
        <v>373588.33</v>
      </c>
      <c r="G81" s="7">
        <v>9900277.343</v>
      </c>
      <c r="H81" s="20" t="s">
        <v>291</v>
      </c>
      <c r="I81" s="20" t="s">
        <v>292</v>
      </c>
      <c r="J81" s="21">
        <v>380.725</v>
      </c>
      <c r="K81" s="14">
        <v>78.0</v>
      </c>
      <c r="L81" s="14">
        <v>128.16</v>
      </c>
      <c r="M81" s="14">
        <v>1839.36</v>
      </c>
      <c r="N81" s="14">
        <v>-0.7</v>
      </c>
      <c r="O81" s="23">
        <v>80.0</v>
      </c>
      <c r="P81" s="5">
        <f t="shared" si="1"/>
        <v>2426.245</v>
      </c>
      <c r="Q81" s="5">
        <f t="shared" si="2"/>
        <v>0.16</v>
      </c>
      <c r="R81" s="5">
        <f t="shared" si="3"/>
        <v>0.05</v>
      </c>
      <c r="S81" s="5">
        <f t="shared" si="4"/>
        <v>0.76</v>
      </c>
      <c r="T81" s="5">
        <f t="shared" si="5"/>
        <v>0.03</v>
      </c>
      <c r="U81" s="5">
        <f t="shared" si="6"/>
        <v>0.00845</v>
      </c>
      <c r="V81" s="5">
        <f t="shared" si="11"/>
        <v>0.03584</v>
      </c>
      <c r="W81" s="5">
        <f t="shared" si="7"/>
        <v>0.01446</v>
      </c>
      <c r="X81" s="5">
        <f t="shared" si="8"/>
        <v>0.095</v>
      </c>
      <c r="Y81" s="5">
        <f t="shared" si="9"/>
        <v>0.15</v>
      </c>
      <c r="Z81" s="5">
        <f t="shared" si="10"/>
        <v>0</v>
      </c>
    </row>
    <row r="82" ht="15.75" customHeight="1">
      <c r="A82" s="6" t="s">
        <v>293</v>
      </c>
      <c r="B82" s="7" t="s">
        <v>471</v>
      </c>
      <c r="C82" s="7" t="s">
        <v>461</v>
      </c>
      <c r="D82" s="7" t="s">
        <v>26</v>
      </c>
      <c r="E82" s="7" t="s">
        <v>445</v>
      </c>
      <c r="F82" s="7">
        <v>373298.031</v>
      </c>
      <c r="G82" s="7">
        <v>9900523.638</v>
      </c>
      <c r="H82" s="20" t="s">
        <v>294</v>
      </c>
      <c r="I82" s="20" t="s">
        <v>295</v>
      </c>
      <c r="J82" s="21">
        <v>380.721</v>
      </c>
      <c r="K82" s="14">
        <v>73.45</v>
      </c>
      <c r="L82" s="14">
        <v>125.91</v>
      </c>
      <c r="M82" s="14">
        <v>1441.6</v>
      </c>
      <c r="N82" s="14">
        <v>-2.2</v>
      </c>
      <c r="O82" s="5">
        <v>81.0</v>
      </c>
      <c r="P82" s="5">
        <f t="shared" si="1"/>
        <v>2021.681</v>
      </c>
      <c r="Q82" s="5">
        <f t="shared" si="2"/>
        <v>0.19</v>
      </c>
      <c r="R82" s="5">
        <f t="shared" si="3"/>
        <v>0.06</v>
      </c>
      <c r="S82" s="5">
        <f t="shared" si="4"/>
        <v>0.71</v>
      </c>
      <c r="T82" s="5">
        <f t="shared" si="5"/>
        <v>0.04</v>
      </c>
      <c r="U82" s="5">
        <f t="shared" si="6"/>
        <v>0.01014</v>
      </c>
      <c r="V82" s="5">
        <f t="shared" si="11"/>
        <v>0.04256</v>
      </c>
      <c r="W82" s="5">
        <f t="shared" si="7"/>
        <v>0.01928</v>
      </c>
      <c r="X82" s="5">
        <f t="shared" si="8"/>
        <v>0.08875</v>
      </c>
      <c r="Y82" s="5">
        <f t="shared" si="9"/>
        <v>0.16</v>
      </c>
      <c r="Z82" s="5">
        <f t="shared" si="10"/>
        <v>0</v>
      </c>
    </row>
    <row r="83" ht="15.75" customHeight="1">
      <c r="A83" s="6" t="s">
        <v>296</v>
      </c>
      <c r="B83" s="7" t="s">
        <v>471</v>
      </c>
      <c r="C83" s="7" t="s">
        <v>461</v>
      </c>
      <c r="D83" s="7" t="s">
        <v>26</v>
      </c>
      <c r="E83" s="7" t="s">
        <v>445</v>
      </c>
      <c r="F83" s="7">
        <v>373005.743</v>
      </c>
      <c r="G83" s="7">
        <v>9900771.572</v>
      </c>
      <c r="H83" s="20" t="s">
        <v>297</v>
      </c>
      <c r="I83" s="20" t="s">
        <v>298</v>
      </c>
      <c r="J83" s="21">
        <v>383.324</v>
      </c>
      <c r="K83" s="14">
        <v>68.54</v>
      </c>
      <c r="L83" s="14">
        <v>181.99</v>
      </c>
      <c r="M83" s="14">
        <v>1080.51</v>
      </c>
      <c r="N83" s="14">
        <v>-2.6</v>
      </c>
      <c r="O83" s="23">
        <v>82.0</v>
      </c>
      <c r="P83" s="5">
        <f t="shared" si="1"/>
        <v>1714.364</v>
      </c>
      <c r="Q83" s="5">
        <f t="shared" si="2"/>
        <v>0.22</v>
      </c>
      <c r="R83" s="5">
        <f t="shared" si="3"/>
        <v>0.11</v>
      </c>
      <c r="S83" s="5">
        <f t="shared" si="4"/>
        <v>0.63</v>
      </c>
      <c r="T83" s="5">
        <f t="shared" si="5"/>
        <v>0.04</v>
      </c>
      <c r="U83" s="5">
        <f t="shared" si="6"/>
        <v>0.01859</v>
      </c>
      <c r="V83" s="5">
        <f t="shared" si="11"/>
        <v>0.04928</v>
      </c>
      <c r="W83" s="5">
        <f t="shared" si="7"/>
        <v>0.01928</v>
      </c>
      <c r="X83" s="5">
        <f t="shared" si="8"/>
        <v>0.07875</v>
      </c>
      <c r="Y83" s="5">
        <f t="shared" si="9"/>
        <v>0.17</v>
      </c>
      <c r="Z83" s="5">
        <f t="shared" si="10"/>
        <v>0</v>
      </c>
    </row>
    <row r="84" ht="15.75" customHeight="1">
      <c r="A84" s="6" t="s">
        <v>299</v>
      </c>
      <c r="B84" s="7" t="s">
        <v>472</v>
      </c>
      <c r="C84" s="7" t="s">
        <v>461</v>
      </c>
      <c r="D84" s="7" t="s">
        <v>26</v>
      </c>
      <c r="E84" s="7" t="s">
        <v>445</v>
      </c>
      <c r="F84" s="7">
        <v>372744.468</v>
      </c>
      <c r="G84" s="7">
        <v>9900993.235</v>
      </c>
      <c r="H84" s="20" t="s">
        <v>300</v>
      </c>
      <c r="I84" s="20" t="s">
        <v>301</v>
      </c>
      <c r="J84" s="21">
        <v>342.638</v>
      </c>
      <c r="K84" s="14">
        <v>65.36</v>
      </c>
      <c r="L84" s="14">
        <v>173.27</v>
      </c>
      <c r="M84" s="14">
        <v>732.17</v>
      </c>
      <c r="N84" s="14">
        <v>-0.8</v>
      </c>
      <c r="O84" s="5">
        <v>83.0</v>
      </c>
      <c r="P84" s="5">
        <f t="shared" si="1"/>
        <v>1313.438</v>
      </c>
      <c r="Q84" s="5">
        <f t="shared" si="2"/>
        <v>0.26</v>
      </c>
      <c r="R84" s="5">
        <f t="shared" si="3"/>
        <v>0.13</v>
      </c>
      <c r="S84" s="5">
        <f t="shared" si="4"/>
        <v>0.56</v>
      </c>
      <c r="T84" s="5">
        <f t="shared" si="5"/>
        <v>0.05</v>
      </c>
      <c r="U84" s="5">
        <f t="shared" si="6"/>
        <v>0.02197</v>
      </c>
      <c r="V84" s="5">
        <f t="shared" si="11"/>
        <v>0.05824</v>
      </c>
      <c r="W84" s="5">
        <f t="shared" si="7"/>
        <v>0.0241</v>
      </c>
      <c r="X84" s="5">
        <f t="shared" si="8"/>
        <v>0.07</v>
      </c>
      <c r="Y84" s="5">
        <f t="shared" si="9"/>
        <v>0.17</v>
      </c>
      <c r="Z84" s="5">
        <f t="shared" si="10"/>
        <v>0</v>
      </c>
    </row>
    <row r="85" ht="15.75" customHeight="1">
      <c r="A85" s="6" t="s">
        <v>302</v>
      </c>
      <c r="B85" s="7" t="s">
        <v>472</v>
      </c>
      <c r="C85" s="7" t="s">
        <v>461</v>
      </c>
      <c r="D85" s="7" t="s">
        <v>26</v>
      </c>
      <c r="E85" s="7" t="s">
        <v>445</v>
      </c>
      <c r="F85" s="7">
        <v>372487.475</v>
      </c>
      <c r="G85" s="7">
        <v>9901211.209</v>
      </c>
      <c r="H85" s="20" t="s">
        <v>303</v>
      </c>
      <c r="I85" s="20" t="s">
        <v>304</v>
      </c>
      <c r="J85" s="21">
        <v>336.974</v>
      </c>
      <c r="K85" s="14">
        <v>62.19</v>
      </c>
      <c r="L85" s="14">
        <v>200.94</v>
      </c>
      <c r="M85" s="14">
        <v>407.68</v>
      </c>
      <c r="N85" s="14">
        <v>-1.0</v>
      </c>
      <c r="O85" s="23">
        <v>84.0</v>
      </c>
      <c r="P85" s="5">
        <f t="shared" si="1"/>
        <v>1007.784</v>
      </c>
      <c r="Q85" s="5">
        <f t="shared" si="2"/>
        <v>0.33</v>
      </c>
      <c r="R85" s="5">
        <f t="shared" si="3"/>
        <v>0.2</v>
      </c>
      <c r="S85" s="5">
        <f t="shared" si="4"/>
        <v>0.4</v>
      </c>
      <c r="T85" s="5">
        <f t="shared" si="5"/>
        <v>0.06</v>
      </c>
      <c r="U85" s="5">
        <f t="shared" si="6"/>
        <v>0.0338</v>
      </c>
      <c r="V85" s="5">
        <f t="shared" si="11"/>
        <v>0.07392</v>
      </c>
      <c r="W85" s="5">
        <f t="shared" si="7"/>
        <v>0.02892</v>
      </c>
      <c r="X85" s="5">
        <f t="shared" si="8"/>
        <v>0.05</v>
      </c>
      <c r="Y85" s="5">
        <f t="shared" si="9"/>
        <v>0.19</v>
      </c>
      <c r="Z85" s="5">
        <f t="shared" si="10"/>
        <v>1</v>
      </c>
    </row>
    <row r="86" ht="15.75" customHeight="1">
      <c r="A86" s="6" t="s">
        <v>305</v>
      </c>
      <c r="B86" s="7" t="s">
        <v>473</v>
      </c>
      <c r="C86" s="7" t="s">
        <v>461</v>
      </c>
      <c r="D86" s="7" t="s">
        <v>26</v>
      </c>
      <c r="E86" s="7" t="s">
        <v>123</v>
      </c>
      <c r="F86" s="7">
        <v>372235.353</v>
      </c>
      <c r="G86" s="7">
        <v>9901425.094</v>
      </c>
      <c r="H86" s="20" t="s">
        <v>306</v>
      </c>
      <c r="I86" s="20" t="s">
        <v>307</v>
      </c>
      <c r="J86" s="21">
        <v>330.631</v>
      </c>
      <c r="K86" s="14">
        <v>62.46</v>
      </c>
      <c r="L86" s="14">
        <v>212.22</v>
      </c>
      <c r="M86" s="14">
        <v>67.36</v>
      </c>
      <c r="N86" s="14">
        <v>-0.6</v>
      </c>
      <c r="O86" s="5">
        <v>85.0</v>
      </c>
      <c r="P86" s="5">
        <f t="shared" si="1"/>
        <v>672.671</v>
      </c>
      <c r="Q86" s="5">
        <f t="shared" si="2"/>
        <v>0.49</v>
      </c>
      <c r="R86" s="5">
        <f t="shared" si="3"/>
        <v>0.32</v>
      </c>
      <c r="S86" s="5">
        <f t="shared" si="4"/>
        <v>0.1</v>
      </c>
      <c r="T86" s="5">
        <f t="shared" si="5"/>
        <v>0.09</v>
      </c>
      <c r="U86" s="5">
        <f t="shared" si="6"/>
        <v>0.05408</v>
      </c>
      <c r="V86" s="5">
        <f t="shared" si="11"/>
        <v>0.10976</v>
      </c>
      <c r="W86" s="5">
        <f t="shared" si="7"/>
        <v>0.04338</v>
      </c>
      <c r="X86" s="5">
        <f t="shared" si="8"/>
        <v>0.0125</v>
      </c>
      <c r="Y86" s="5">
        <f t="shared" si="9"/>
        <v>0.22</v>
      </c>
      <c r="Z86" s="5">
        <f t="shared" si="10"/>
        <v>1</v>
      </c>
    </row>
    <row r="87" ht="15.75" customHeight="1">
      <c r="A87" s="6" t="s">
        <v>308</v>
      </c>
      <c r="B87" s="7" t="s">
        <v>473</v>
      </c>
      <c r="C87" s="7" t="s">
        <v>461</v>
      </c>
      <c r="D87" s="7" t="s">
        <v>26</v>
      </c>
      <c r="E87" s="7" t="s">
        <v>454</v>
      </c>
      <c r="F87" s="7">
        <v>371958.552</v>
      </c>
      <c r="G87" s="7">
        <v>9901604.647</v>
      </c>
      <c r="H87" s="20" t="s">
        <v>309</v>
      </c>
      <c r="I87" s="20" t="s">
        <v>310</v>
      </c>
      <c r="J87" s="21">
        <v>329.944</v>
      </c>
      <c r="K87" s="14">
        <v>59.94</v>
      </c>
      <c r="L87" s="14">
        <v>174.33</v>
      </c>
      <c r="M87" s="14">
        <v>231.43</v>
      </c>
      <c r="N87" s="14">
        <v>-1.0</v>
      </c>
      <c r="O87" s="23">
        <v>86.0</v>
      </c>
      <c r="P87" s="5">
        <f t="shared" si="1"/>
        <v>795.644</v>
      </c>
      <c r="Q87" s="5">
        <f t="shared" si="2"/>
        <v>0.41</v>
      </c>
      <c r="R87" s="5">
        <f t="shared" si="3"/>
        <v>0.22</v>
      </c>
      <c r="S87" s="5">
        <f t="shared" si="4"/>
        <v>0.29</v>
      </c>
      <c r="T87" s="5">
        <f t="shared" si="5"/>
        <v>0.08</v>
      </c>
      <c r="U87" s="5">
        <f t="shared" si="6"/>
        <v>0.03718</v>
      </c>
      <c r="V87" s="5">
        <f t="shared" si="11"/>
        <v>0.09184</v>
      </c>
      <c r="W87" s="5">
        <f t="shared" si="7"/>
        <v>0.03856</v>
      </c>
      <c r="X87" s="5">
        <f t="shared" si="8"/>
        <v>0.03625</v>
      </c>
      <c r="Y87" s="5">
        <f t="shared" si="9"/>
        <v>0.2</v>
      </c>
      <c r="Z87" s="5">
        <f t="shared" si="10"/>
        <v>1</v>
      </c>
    </row>
    <row r="88" ht="15.75" customHeight="1">
      <c r="A88" s="6" t="s">
        <v>311</v>
      </c>
      <c r="B88" s="7" t="s">
        <v>473</v>
      </c>
      <c r="C88" s="7" t="s">
        <v>461</v>
      </c>
      <c r="D88" s="7" t="s">
        <v>26</v>
      </c>
      <c r="E88" s="7" t="s">
        <v>123</v>
      </c>
      <c r="F88" s="7">
        <v>371674.41</v>
      </c>
      <c r="G88" s="7">
        <v>9901740.67</v>
      </c>
      <c r="H88" s="20" t="s">
        <v>312</v>
      </c>
      <c r="I88" s="20" t="s">
        <v>313</v>
      </c>
      <c r="J88" s="21">
        <v>315.02</v>
      </c>
      <c r="K88" s="14">
        <v>59.76</v>
      </c>
      <c r="L88" s="14">
        <v>115.3</v>
      </c>
      <c r="M88" s="14">
        <v>528.49</v>
      </c>
      <c r="N88" s="14">
        <v>-3.2</v>
      </c>
      <c r="O88" s="5">
        <v>87.0</v>
      </c>
      <c r="P88" s="5">
        <f t="shared" si="1"/>
        <v>1018.57</v>
      </c>
      <c r="Q88" s="5">
        <f t="shared" si="2"/>
        <v>0.31</v>
      </c>
      <c r="R88" s="5">
        <f t="shared" si="3"/>
        <v>0.11</v>
      </c>
      <c r="S88" s="5">
        <f t="shared" si="4"/>
        <v>0.52</v>
      </c>
      <c r="T88" s="5">
        <f t="shared" si="5"/>
        <v>0.06</v>
      </c>
      <c r="U88" s="5">
        <f t="shared" si="6"/>
        <v>0.01859</v>
      </c>
      <c r="V88" s="5">
        <f t="shared" si="11"/>
        <v>0.06944</v>
      </c>
      <c r="W88" s="5">
        <f t="shared" si="7"/>
        <v>0.02892</v>
      </c>
      <c r="X88" s="5">
        <f t="shared" si="8"/>
        <v>0.065</v>
      </c>
      <c r="Y88" s="5">
        <f t="shared" si="9"/>
        <v>0.18</v>
      </c>
      <c r="Z88" s="5">
        <f t="shared" si="10"/>
        <v>1</v>
      </c>
    </row>
    <row r="89" ht="15.75" customHeight="1">
      <c r="A89" s="6" t="s">
        <v>314</v>
      </c>
      <c r="B89" s="7" t="s">
        <v>473</v>
      </c>
      <c r="C89" s="7" t="s">
        <v>461</v>
      </c>
      <c r="D89" s="7" t="s">
        <v>26</v>
      </c>
      <c r="E89" s="7" t="s">
        <v>474</v>
      </c>
      <c r="F89" s="7">
        <v>371369.883</v>
      </c>
      <c r="G89" s="7">
        <v>9901686.161</v>
      </c>
      <c r="H89" s="20" t="s">
        <v>315</v>
      </c>
      <c r="I89" s="20" t="s">
        <v>316</v>
      </c>
      <c r="J89" s="21">
        <v>309.347</v>
      </c>
      <c r="K89" s="14">
        <v>63.49</v>
      </c>
      <c r="L89" s="14">
        <v>156.77</v>
      </c>
      <c r="M89" s="14">
        <v>771.61</v>
      </c>
      <c r="N89" s="14">
        <v>-0.8</v>
      </c>
      <c r="O89" s="23">
        <v>88.0</v>
      </c>
      <c r="P89" s="5">
        <f t="shared" si="1"/>
        <v>1301.217</v>
      </c>
      <c r="Q89" s="5">
        <f t="shared" si="2"/>
        <v>0.24</v>
      </c>
      <c r="R89" s="5">
        <f t="shared" si="3"/>
        <v>0.12</v>
      </c>
      <c r="S89" s="5">
        <f t="shared" si="4"/>
        <v>0.59</v>
      </c>
      <c r="T89" s="5">
        <f t="shared" si="5"/>
        <v>0.05</v>
      </c>
      <c r="U89" s="5">
        <f t="shared" si="6"/>
        <v>0.02028</v>
      </c>
      <c r="V89" s="5">
        <f t="shared" si="11"/>
        <v>0.05376</v>
      </c>
      <c r="W89" s="5">
        <f t="shared" si="7"/>
        <v>0.0241</v>
      </c>
      <c r="X89" s="5">
        <f t="shared" si="8"/>
        <v>0.07375</v>
      </c>
      <c r="Y89" s="5">
        <f t="shared" si="9"/>
        <v>0.17</v>
      </c>
      <c r="Z89" s="5">
        <f t="shared" si="10"/>
        <v>0</v>
      </c>
    </row>
    <row r="90" ht="15.75" customHeight="1">
      <c r="A90" s="6" t="s">
        <v>317</v>
      </c>
      <c r="B90" s="7" t="s">
        <v>473</v>
      </c>
      <c r="C90" s="7" t="s">
        <v>461</v>
      </c>
      <c r="D90" s="7" t="s">
        <v>26</v>
      </c>
      <c r="E90" s="7" t="s">
        <v>474</v>
      </c>
      <c r="F90" s="7">
        <v>371036.355</v>
      </c>
      <c r="G90" s="7">
        <v>9901615.638</v>
      </c>
      <c r="H90" s="20" t="s">
        <v>318</v>
      </c>
      <c r="I90" s="20" t="s">
        <v>319</v>
      </c>
      <c r="J90" s="21">
        <v>340.878</v>
      </c>
      <c r="K90" s="14">
        <v>66.95</v>
      </c>
      <c r="L90" s="14">
        <v>247.05</v>
      </c>
      <c r="M90" s="14">
        <v>730.24</v>
      </c>
      <c r="N90" s="14">
        <v>-1.0</v>
      </c>
      <c r="O90" s="5">
        <v>89.0</v>
      </c>
      <c r="P90" s="5">
        <f t="shared" si="1"/>
        <v>1385.118</v>
      </c>
      <c r="Q90" s="5">
        <f t="shared" si="2"/>
        <v>0.25</v>
      </c>
      <c r="R90" s="5">
        <f t="shared" si="3"/>
        <v>0.18</v>
      </c>
      <c r="S90" s="5">
        <f t="shared" si="4"/>
        <v>0.53</v>
      </c>
      <c r="T90" s="5">
        <f t="shared" si="5"/>
        <v>0.05</v>
      </c>
      <c r="U90" s="5">
        <f t="shared" si="6"/>
        <v>0.03042</v>
      </c>
      <c r="V90" s="5">
        <f t="shared" si="11"/>
        <v>0.056</v>
      </c>
      <c r="W90" s="5">
        <f t="shared" si="7"/>
        <v>0.0241</v>
      </c>
      <c r="X90" s="5">
        <f t="shared" si="8"/>
        <v>0.06625</v>
      </c>
      <c r="Y90" s="5">
        <f t="shared" si="9"/>
        <v>0.18</v>
      </c>
      <c r="Z90" s="5">
        <f t="shared" si="10"/>
        <v>1</v>
      </c>
    </row>
    <row r="91" ht="15.75" customHeight="1">
      <c r="A91" s="6" t="s">
        <v>320</v>
      </c>
      <c r="B91" s="7" t="s">
        <v>473</v>
      </c>
      <c r="C91" s="7" t="s">
        <v>461</v>
      </c>
      <c r="D91" s="7" t="s">
        <v>26</v>
      </c>
      <c r="E91" s="7" t="s">
        <v>479</v>
      </c>
      <c r="F91" s="7">
        <v>370675.055</v>
      </c>
      <c r="G91" s="7">
        <v>9901551.181</v>
      </c>
      <c r="H91" s="20" t="s">
        <v>321</v>
      </c>
      <c r="I91" s="20" t="s">
        <v>322</v>
      </c>
      <c r="J91" s="21">
        <v>366.975</v>
      </c>
      <c r="K91" s="14">
        <v>76.03</v>
      </c>
      <c r="L91" s="14">
        <v>79.27</v>
      </c>
      <c r="M91" s="14">
        <v>593.33</v>
      </c>
      <c r="N91" s="14">
        <v>-0.8</v>
      </c>
      <c r="O91" s="23">
        <v>90.0</v>
      </c>
      <c r="P91" s="5">
        <f t="shared" si="1"/>
        <v>1115.605</v>
      </c>
      <c r="Q91" s="5">
        <f t="shared" si="2"/>
        <v>0.33</v>
      </c>
      <c r="R91" s="5">
        <f t="shared" si="3"/>
        <v>0.07</v>
      </c>
      <c r="S91" s="5">
        <f t="shared" si="4"/>
        <v>0.53</v>
      </c>
      <c r="T91" s="5">
        <f t="shared" si="5"/>
        <v>0.07</v>
      </c>
      <c r="U91" s="5">
        <f t="shared" si="6"/>
        <v>0.01183</v>
      </c>
      <c r="V91" s="5">
        <f t="shared" si="11"/>
        <v>0.07392</v>
      </c>
      <c r="W91" s="5">
        <f t="shared" si="7"/>
        <v>0.03374</v>
      </c>
      <c r="X91" s="5">
        <f t="shared" si="8"/>
        <v>0.06625</v>
      </c>
      <c r="Y91" s="5">
        <f t="shared" si="9"/>
        <v>0.19</v>
      </c>
      <c r="Z91" s="5">
        <f t="shared" si="10"/>
        <v>1</v>
      </c>
    </row>
    <row r="92" ht="15.75" customHeight="1">
      <c r="A92" s="6" t="s">
        <v>323</v>
      </c>
      <c r="B92" s="7" t="s">
        <v>473</v>
      </c>
      <c r="C92" s="7" t="s">
        <v>461</v>
      </c>
      <c r="D92" s="7" t="s">
        <v>26</v>
      </c>
      <c r="E92" s="7" t="s">
        <v>123</v>
      </c>
      <c r="F92" s="7">
        <v>370329.601</v>
      </c>
      <c r="G92" s="7">
        <v>9901459.307</v>
      </c>
      <c r="H92" s="20" t="s">
        <v>324</v>
      </c>
      <c r="I92" s="20" t="s">
        <v>326</v>
      </c>
      <c r="J92" s="21">
        <v>357.507</v>
      </c>
      <c r="K92" s="14">
        <v>78.42</v>
      </c>
      <c r="L92" s="14">
        <v>355.91</v>
      </c>
      <c r="M92" s="14">
        <v>549.75</v>
      </c>
      <c r="N92" s="14">
        <v>-0.6</v>
      </c>
      <c r="O92" s="5">
        <v>91.0</v>
      </c>
      <c r="P92" s="5">
        <f t="shared" si="1"/>
        <v>1341.587</v>
      </c>
      <c r="Q92" s="5">
        <f t="shared" si="2"/>
        <v>0.27</v>
      </c>
      <c r="R92" s="5">
        <f t="shared" si="3"/>
        <v>0.27</v>
      </c>
      <c r="S92" s="5">
        <f t="shared" si="4"/>
        <v>0.41</v>
      </c>
      <c r="T92" s="5">
        <f t="shared" si="5"/>
        <v>0.06</v>
      </c>
      <c r="U92" s="5">
        <f t="shared" si="6"/>
        <v>0.04563</v>
      </c>
      <c r="V92" s="5">
        <f t="shared" si="11"/>
        <v>0.06048</v>
      </c>
      <c r="W92" s="5">
        <f t="shared" si="7"/>
        <v>0.02892</v>
      </c>
      <c r="X92" s="5">
        <f t="shared" si="8"/>
        <v>0.05125</v>
      </c>
      <c r="Y92" s="5">
        <f t="shared" si="9"/>
        <v>0.19</v>
      </c>
      <c r="Z92" s="5">
        <f t="shared" si="10"/>
        <v>1</v>
      </c>
    </row>
    <row r="93" ht="15.75" customHeight="1">
      <c r="A93" s="6" t="s">
        <v>327</v>
      </c>
      <c r="B93" s="7" t="s">
        <v>473</v>
      </c>
      <c r="C93" s="7" t="s">
        <v>461</v>
      </c>
      <c r="D93" s="7" t="s">
        <v>26</v>
      </c>
      <c r="E93" s="7" t="s">
        <v>480</v>
      </c>
      <c r="F93" s="7">
        <v>370008.578</v>
      </c>
      <c r="G93" s="7">
        <v>9901366.293</v>
      </c>
      <c r="H93" s="20" t="s">
        <v>328</v>
      </c>
      <c r="I93" s="20" t="s">
        <v>330</v>
      </c>
      <c r="J93" s="21">
        <v>334.199</v>
      </c>
      <c r="K93" s="14">
        <v>80.74</v>
      </c>
      <c r="L93" s="14">
        <v>116.14</v>
      </c>
      <c r="M93" s="14">
        <v>493.36</v>
      </c>
      <c r="N93" s="14">
        <v>-1.0</v>
      </c>
      <c r="O93" s="23">
        <v>92.0</v>
      </c>
      <c r="P93" s="5">
        <f t="shared" si="1"/>
        <v>1024.439</v>
      </c>
      <c r="Q93" s="5">
        <f t="shared" si="2"/>
        <v>0.33</v>
      </c>
      <c r="R93" s="5">
        <f t="shared" si="3"/>
        <v>0.11</v>
      </c>
      <c r="S93" s="5">
        <f t="shared" si="4"/>
        <v>0.48</v>
      </c>
      <c r="T93" s="5">
        <f t="shared" si="5"/>
        <v>0.08</v>
      </c>
      <c r="U93" s="5">
        <f t="shared" si="6"/>
        <v>0.01859</v>
      </c>
      <c r="V93" s="5">
        <f t="shared" si="11"/>
        <v>0.07392</v>
      </c>
      <c r="W93" s="5">
        <f t="shared" si="7"/>
        <v>0.03856</v>
      </c>
      <c r="X93" s="5">
        <f t="shared" si="8"/>
        <v>0.06</v>
      </c>
      <c r="Y93" s="5">
        <f t="shared" si="9"/>
        <v>0.19</v>
      </c>
      <c r="Z93" s="5">
        <f t="shared" si="10"/>
        <v>1</v>
      </c>
    </row>
    <row r="94" ht="15.75" customHeight="1">
      <c r="A94" s="6" t="s">
        <v>331</v>
      </c>
      <c r="B94" s="7" t="s">
        <v>476</v>
      </c>
      <c r="C94" s="7" t="s">
        <v>461</v>
      </c>
      <c r="D94" s="7" t="s">
        <v>26</v>
      </c>
      <c r="E94" s="7" t="s">
        <v>480</v>
      </c>
      <c r="F94" s="7">
        <v>369677.051</v>
      </c>
      <c r="G94" s="7">
        <v>9901266.568</v>
      </c>
      <c r="H94" s="20" t="s">
        <v>334</v>
      </c>
      <c r="I94" s="20" t="s">
        <v>336</v>
      </c>
      <c r="J94" s="21">
        <v>346.211</v>
      </c>
      <c r="K94" s="14">
        <v>86.76</v>
      </c>
      <c r="L94" s="14">
        <v>192.61</v>
      </c>
      <c r="M94" s="14">
        <v>519.13</v>
      </c>
      <c r="N94" s="14"/>
      <c r="O94" s="5">
        <v>93.0</v>
      </c>
      <c r="P94" s="5">
        <f t="shared" si="1"/>
        <v>1144.711</v>
      </c>
      <c r="Q94" s="5">
        <f t="shared" si="2"/>
        <v>0.3</v>
      </c>
      <c r="R94" s="5">
        <f t="shared" si="3"/>
        <v>0.17</v>
      </c>
      <c r="S94" s="5">
        <f t="shared" si="4"/>
        <v>0.45</v>
      </c>
      <c r="T94" s="5">
        <f t="shared" si="5"/>
        <v>0.08</v>
      </c>
      <c r="U94" s="5">
        <f t="shared" si="6"/>
        <v>0.02873</v>
      </c>
      <c r="V94" s="5">
        <f t="shared" si="11"/>
        <v>0.0672</v>
      </c>
      <c r="W94" s="5">
        <f t="shared" si="7"/>
        <v>0.03856</v>
      </c>
      <c r="X94" s="5">
        <f t="shared" si="8"/>
        <v>0.05625</v>
      </c>
      <c r="Y94" s="5">
        <f t="shared" si="9"/>
        <v>0.19</v>
      </c>
      <c r="Z94" s="5">
        <f t="shared" si="10"/>
        <v>1</v>
      </c>
    </row>
    <row r="95" ht="15.75" customHeight="1">
      <c r="A95" s="6" t="s">
        <v>337</v>
      </c>
      <c r="B95" s="7" t="s">
        <v>477</v>
      </c>
      <c r="C95" s="7" t="s">
        <v>461</v>
      </c>
      <c r="D95" s="7" t="s">
        <v>26</v>
      </c>
      <c r="E95" s="7" t="s">
        <v>480</v>
      </c>
      <c r="F95" s="7">
        <v>369393.448</v>
      </c>
      <c r="G95" s="7">
        <v>9901087.199</v>
      </c>
      <c r="H95" s="20" t="s">
        <v>339</v>
      </c>
      <c r="I95" s="20" t="s">
        <v>340</v>
      </c>
      <c r="J95" s="21">
        <v>335.55</v>
      </c>
      <c r="K95" s="14">
        <v>93.0</v>
      </c>
      <c r="L95" s="14">
        <v>156.29</v>
      </c>
      <c r="M95" s="14">
        <v>403.6</v>
      </c>
      <c r="N95" s="14"/>
      <c r="O95" s="23">
        <v>94.0</v>
      </c>
      <c r="P95" s="5">
        <f t="shared" si="1"/>
        <v>988.44</v>
      </c>
      <c r="Q95" s="5">
        <f t="shared" si="2"/>
        <v>0.34</v>
      </c>
      <c r="R95" s="5">
        <f t="shared" si="3"/>
        <v>0.16</v>
      </c>
      <c r="S95" s="5">
        <f t="shared" si="4"/>
        <v>0.41</v>
      </c>
      <c r="T95" s="5">
        <f t="shared" si="5"/>
        <v>0.09</v>
      </c>
      <c r="U95" s="5">
        <f t="shared" si="6"/>
        <v>0.02704</v>
      </c>
      <c r="V95" s="5">
        <f t="shared" si="11"/>
        <v>0.07616</v>
      </c>
      <c r="W95" s="5">
        <f t="shared" si="7"/>
        <v>0.04338</v>
      </c>
      <c r="X95" s="5">
        <f t="shared" si="8"/>
        <v>0.05125</v>
      </c>
      <c r="Y95" s="5">
        <f t="shared" si="9"/>
        <v>0.2</v>
      </c>
      <c r="Z95" s="5">
        <f t="shared" si="10"/>
        <v>1</v>
      </c>
    </row>
    <row r="96" ht="15.75" customHeight="1">
      <c r="A96" s="6" t="s">
        <v>342</v>
      </c>
      <c r="B96" s="7" t="s">
        <v>477</v>
      </c>
      <c r="C96" s="7" t="s">
        <v>461</v>
      </c>
      <c r="D96" s="7" t="s">
        <v>26</v>
      </c>
      <c r="E96" s="7" t="s">
        <v>470</v>
      </c>
      <c r="F96" s="7">
        <v>369057.801</v>
      </c>
      <c r="G96" s="7">
        <v>9900897.566</v>
      </c>
      <c r="H96" s="20" t="s">
        <v>344</v>
      </c>
      <c r="I96" s="20" t="s">
        <v>345</v>
      </c>
      <c r="J96" s="21">
        <v>385.546</v>
      </c>
      <c r="K96" s="14">
        <v>100.78</v>
      </c>
      <c r="L96" s="14">
        <v>165.25</v>
      </c>
      <c r="M96" s="14">
        <v>413.47</v>
      </c>
      <c r="N96" s="14"/>
      <c r="O96" s="5">
        <v>95.0</v>
      </c>
      <c r="P96" s="5">
        <f t="shared" si="1"/>
        <v>1065.046</v>
      </c>
      <c r="Q96" s="5">
        <f t="shared" si="2"/>
        <v>0.36</v>
      </c>
      <c r="R96" s="5">
        <f t="shared" si="3"/>
        <v>0.16</v>
      </c>
      <c r="S96" s="5">
        <f t="shared" si="4"/>
        <v>0.39</v>
      </c>
      <c r="T96" s="5">
        <f t="shared" si="5"/>
        <v>0.09</v>
      </c>
      <c r="U96" s="5">
        <f t="shared" si="6"/>
        <v>0.02704</v>
      </c>
      <c r="V96" s="5">
        <f t="shared" si="11"/>
        <v>0.08064</v>
      </c>
      <c r="W96" s="5">
        <f t="shared" si="7"/>
        <v>0.04338</v>
      </c>
      <c r="X96" s="5">
        <f t="shared" si="8"/>
        <v>0.04875</v>
      </c>
      <c r="Y96" s="5">
        <f t="shared" si="9"/>
        <v>0.2</v>
      </c>
      <c r="Z96" s="5">
        <f t="shared" si="10"/>
        <v>1</v>
      </c>
    </row>
    <row r="97" ht="15.75" customHeight="1">
      <c r="A97" s="6" t="s">
        <v>347</v>
      </c>
      <c r="B97" s="7" t="s">
        <v>477</v>
      </c>
      <c r="C97" s="7" t="s">
        <v>461</v>
      </c>
      <c r="D97" s="7" t="s">
        <v>26</v>
      </c>
      <c r="E97" s="7" t="s">
        <v>470</v>
      </c>
      <c r="F97" s="7">
        <v>368748.62</v>
      </c>
      <c r="G97" s="7">
        <v>9901006.351</v>
      </c>
      <c r="H97" s="20" t="s">
        <v>348</v>
      </c>
      <c r="I97" s="20" t="s">
        <v>349</v>
      </c>
      <c r="J97" s="21">
        <v>327.719</v>
      </c>
      <c r="K97" s="14">
        <v>95.07</v>
      </c>
      <c r="L97" s="14">
        <v>102.58</v>
      </c>
      <c r="M97" s="14">
        <v>658.95</v>
      </c>
      <c r="N97" s="14"/>
      <c r="O97" s="23">
        <v>96.0</v>
      </c>
      <c r="P97" s="5">
        <f t="shared" si="1"/>
        <v>1184.319</v>
      </c>
      <c r="Q97" s="5">
        <f t="shared" si="2"/>
        <v>0.28</v>
      </c>
      <c r="R97" s="5">
        <f t="shared" si="3"/>
        <v>0.09</v>
      </c>
      <c r="S97" s="5">
        <f t="shared" si="4"/>
        <v>0.56</v>
      </c>
      <c r="T97" s="5">
        <f t="shared" si="5"/>
        <v>0.08</v>
      </c>
      <c r="U97" s="5">
        <f t="shared" si="6"/>
        <v>0.01521</v>
      </c>
      <c r="V97" s="5">
        <f t="shared" si="11"/>
        <v>0.06272</v>
      </c>
      <c r="W97" s="5">
        <f t="shared" si="7"/>
        <v>0.03856</v>
      </c>
      <c r="X97" s="5">
        <f t="shared" si="8"/>
        <v>0.07</v>
      </c>
      <c r="Y97" s="5">
        <f t="shared" si="9"/>
        <v>0.19</v>
      </c>
      <c r="Z97" s="5">
        <f t="shared" si="10"/>
        <v>1</v>
      </c>
    </row>
    <row r="98" ht="15.75" customHeight="1">
      <c r="A98" s="6" t="s">
        <v>350</v>
      </c>
      <c r="B98" s="7" t="s">
        <v>477</v>
      </c>
      <c r="C98" s="7" t="s">
        <v>461</v>
      </c>
      <c r="D98" s="7" t="s">
        <v>26</v>
      </c>
      <c r="E98" s="7" t="s">
        <v>470</v>
      </c>
      <c r="F98" s="7">
        <v>368469.517</v>
      </c>
      <c r="G98" s="7">
        <v>9901243.031</v>
      </c>
      <c r="H98" s="20" t="s">
        <v>351</v>
      </c>
      <c r="I98" s="20" t="s">
        <v>352</v>
      </c>
      <c r="J98" s="21">
        <v>366.827</v>
      </c>
      <c r="K98" s="14">
        <v>98.6</v>
      </c>
      <c r="L98" s="14">
        <v>107.64</v>
      </c>
      <c r="M98" s="14">
        <v>934.23</v>
      </c>
      <c r="N98" s="14"/>
      <c r="O98" s="5">
        <v>97.0</v>
      </c>
      <c r="P98" s="5">
        <f t="shared" si="1"/>
        <v>1507.297</v>
      </c>
      <c r="Q98" s="5">
        <f t="shared" si="2"/>
        <v>0.24</v>
      </c>
      <c r="R98" s="5">
        <f t="shared" si="3"/>
        <v>0.07</v>
      </c>
      <c r="S98" s="5">
        <f t="shared" si="4"/>
        <v>0.62</v>
      </c>
      <c r="T98" s="5">
        <f t="shared" si="5"/>
        <v>0.07</v>
      </c>
      <c r="U98" s="5">
        <f t="shared" si="6"/>
        <v>0.01183</v>
      </c>
      <c r="V98" s="5">
        <f t="shared" si="11"/>
        <v>0.05376</v>
      </c>
      <c r="W98" s="5">
        <f t="shared" si="7"/>
        <v>0.03374</v>
      </c>
      <c r="X98" s="5">
        <f t="shared" si="8"/>
        <v>0.0775</v>
      </c>
      <c r="Y98" s="5">
        <f t="shared" si="9"/>
        <v>0.18</v>
      </c>
      <c r="Z98" s="5">
        <f t="shared" si="10"/>
        <v>1</v>
      </c>
    </row>
    <row r="99" ht="15.75" customHeight="1">
      <c r="A99" s="6" t="s">
        <v>354</v>
      </c>
      <c r="B99" s="7" t="s">
        <v>478</v>
      </c>
      <c r="C99" s="7" t="s">
        <v>461</v>
      </c>
      <c r="D99" s="7" t="s">
        <v>26</v>
      </c>
      <c r="E99" s="7" t="s">
        <v>123</v>
      </c>
      <c r="F99" s="7">
        <v>368175.397</v>
      </c>
      <c r="G99" s="7">
        <v>9901492.178</v>
      </c>
      <c r="H99" s="20" t="s">
        <v>355</v>
      </c>
      <c r="I99" s="20" t="s">
        <v>357</v>
      </c>
      <c r="J99" s="21">
        <v>384.637</v>
      </c>
      <c r="K99" s="14">
        <v>96.41</v>
      </c>
      <c r="L99" s="14">
        <v>128.47</v>
      </c>
      <c r="M99" s="14" t="s">
        <v>482</v>
      </c>
      <c r="N99" s="14"/>
      <c r="O99" s="23">
        <v>98.0</v>
      </c>
      <c r="P99" s="5">
        <f t="shared" si="1"/>
        <v>609.517</v>
      </c>
      <c r="Q99" s="5">
        <f t="shared" si="2"/>
        <v>0.63</v>
      </c>
      <c r="R99" s="5">
        <f t="shared" si="3"/>
        <v>0.21</v>
      </c>
      <c r="S99" s="5" t="str">
        <f t="shared" si="4"/>
        <v>#VALUE!</v>
      </c>
      <c r="T99" s="5">
        <f t="shared" si="5"/>
        <v>0.16</v>
      </c>
      <c r="U99" s="5">
        <f t="shared" si="6"/>
        <v>0.03549</v>
      </c>
      <c r="V99" s="5">
        <f t="shared" si="11"/>
        <v>0.14112</v>
      </c>
      <c r="W99" s="5">
        <f t="shared" si="7"/>
        <v>0.07712</v>
      </c>
      <c r="X99" s="5" t="str">
        <f t="shared" si="8"/>
        <v>#VALUE!</v>
      </c>
      <c r="Y99" s="5" t="str">
        <f t="shared" si="9"/>
        <v>#VALUE!</v>
      </c>
      <c r="Z99" s="5" t="str">
        <f t="shared" si="10"/>
        <v>#VALUE!</v>
      </c>
    </row>
    <row r="100" ht="15.75" customHeight="1">
      <c r="A100" s="6" t="s">
        <v>359</v>
      </c>
      <c r="B100" s="7" t="s">
        <v>478</v>
      </c>
      <c r="C100" s="7" t="s">
        <v>461</v>
      </c>
      <c r="D100" s="7" t="s">
        <v>26</v>
      </c>
      <c r="E100" s="7" t="s">
        <v>470</v>
      </c>
      <c r="F100" s="7">
        <v>367893.23</v>
      </c>
      <c r="G100" s="7">
        <v>9901731.405</v>
      </c>
      <c r="H100" s="20" t="s">
        <v>360</v>
      </c>
      <c r="I100" s="20" t="s">
        <v>362</v>
      </c>
      <c r="J100" s="21">
        <v>369.863</v>
      </c>
      <c r="K100" s="14">
        <v>96.99</v>
      </c>
      <c r="L100" s="14">
        <v>130.62</v>
      </c>
      <c r="M100" s="14">
        <v>1310.02</v>
      </c>
      <c r="N100" s="14"/>
      <c r="O100" s="5">
        <v>99.0</v>
      </c>
      <c r="P100" s="5">
        <f t="shared" si="1"/>
        <v>1907.493</v>
      </c>
      <c r="Q100" s="5">
        <f t="shared" si="2"/>
        <v>0.19</v>
      </c>
      <c r="R100" s="5">
        <f t="shared" si="3"/>
        <v>0.07</v>
      </c>
      <c r="S100" s="5">
        <f t="shared" si="4"/>
        <v>0.69</v>
      </c>
      <c r="T100" s="5">
        <f t="shared" si="5"/>
        <v>0.05</v>
      </c>
      <c r="U100" s="5">
        <f t="shared" si="6"/>
        <v>0.01183</v>
      </c>
      <c r="V100" s="5">
        <f t="shared" si="11"/>
        <v>0.04256</v>
      </c>
      <c r="W100" s="5">
        <f t="shared" si="7"/>
        <v>0.0241</v>
      </c>
      <c r="X100" s="5">
        <f t="shared" si="8"/>
        <v>0.08625</v>
      </c>
      <c r="Y100" s="5">
        <f t="shared" si="9"/>
        <v>0.16</v>
      </c>
      <c r="Z100" s="5">
        <f t="shared" si="10"/>
        <v>0</v>
      </c>
    </row>
    <row r="101" ht="15.75" customHeight="1">
      <c r="A101" s="6" t="s">
        <v>363</v>
      </c>
      <c r="B101" s="7" t="s">
        <v>478</v>
      </c>
      <c r="C101" s="7" t="s">
        <v>461</v>
      </c>
      <c r="D101" s="7" t="s">
        <v>26</v>
      </c>
      <c r="E101" s="7" t="s">
        <v>123</v>
      </c>
      <c r="F101" s="7">
        <v>367644.41</v>
      </c>
      <c r="G101" s="7">
        <v>9901942.238</v>
      </c>
      <c r="H101" s="20" t="s">
        <v>364</v>
      </c>
      <c r="I101" s="20" t="s">
        <v>366</v>
      </c>
      <c r="J101" s="21">
        <v>326.136</v>
      </c>
      <c r="K101" s="14">
        <v>93.69</v>
      </c>
      <c r="L101" s="14">
        <v>15.36</v>
      </c>
      <c r="M101" s="14">
        <v>995.63</v>
      </c>
      <c r="N101" s="14"/>
      <c r="O101" s="23">
        <v>100.0</v>
      </c>
      <c r="P101" s="5">
        <f t="shared" si="1"/>
        <v>1430.816</v>
      </c>
      <c r="Q101" s="5">
        <f t="shared" si="2"/>
        <v>0.23</v>
      </c>
      <c r="R101" s="5">
        <f t="shared" si="3"/>
        <v>0.01</v>
      </c>
      <c r="S101" s="5">
        <f t="shared" si="4"/>
        <v>0.7</v>
      </c>
      <c r="T101" s="5">
        <f t="shared" si="5"/>
        <v>0.07</v>
      </c>
      <c r="U101" s="5">
        <f t="shared" si="6"/>
        <v>0.00169</v>
      </c>
      <c r="V101" s="5">
        <f t="shared" si="11"/>
        <v>0.05152</v>
      </c>
      <c r="W101" s="5">
        <f t="shared" si="7"/>
        <v>0.03374</v>
      </c>
      <c r="X101" s="5">
        <f t="shared" si="8"/>
        <v>0.0875</v>
      </c>
      <c r="Y101" s="5">
        <f t="shared" si="9"/>
        <v>0.17</v>
      </c>
      <c r="Z101" s="5">
        <f t="shared" si="10"/>
        <v>0</v>
      </c>
    </row>
    <row r="102" ht="15.75" customHeight="1">
      <c r="A102" s="6" t="s">
        <v>367</v>
      </c>
      <c r="B102" s="7" t="s">
        <v>478</v>
      </c>
      <c r="C102" s="7" t="s">
        <v>461</v>
      </c>
      <c r="D102" s="7" t="s">
        <v>26</v>
      </c>
      <c r="E102" s="7" t="s">
        <v>123</v>
      </c>
      <c r="F102" s="7">
        <v>367325.385</v>
      </c>
      <c r="G102" s="7">
        <v>9902212.654</v>
      </c>
      <c r="H102" s="20" t="s">
        <v>369</v>
      </c>
      <c r="I102" s="20" t="s">
        <v>370</v>
      </c>
      <c r="J102" s="21">
        <v>388.293</v>
      </c>
      <c r="K102" s="14">
        <v>93.09</v>
      </c>
      <c r="L102" s="14">
        <v>136.41</v>
      </c>
      <c r="M102" s="14">
        <v>616.27</v>
      </c>
      <c r="N102" s="14"/>
      <c r="O102" s="5">
        <v>101.0</v>
      </c>
      <c r="P102" s="5">
        <f t="shared" si="1"/>
        <v>1234.063</v>
      </c>
      <c r="Q102" s="5">
        <f t="shared" si="2"/>
        <v>0.31</v>
      </c>
      <c r="R102" s="5">
        <f t="shared" si="3"/>
        <v>0.11</v>
      </c>
      <c r="S102" s="5">
        <f t="shared" si="4"/>
        <v>0.5</v>
      </c>
      <c r="T102" s="5">
        <f t="shared" si="5"/>
        <v>0.08</v>
      </c>
      <c r="U102" s="5">
        <f t="shared" si="6"/>
        <v>0.01859</v>
      </c>
      <c r="V102" s="5">
        <f t="shared" si="11"/>
        <v>0.06944</v>
      </c>
      <c r="W102" s="5">
        <f t="shared" si="7"/>
        <v>0.03856</v>
      </c>
      <c r="X102" s="5">
        <f t="shared" si="8"/>
        <v>0.0625</v>
      </c>
      <c r="Y102" s="5">
        <f t="shared" si="9"/>
        <v>0.19</v>
      </c>
      <c r="Z102" s="5">
        <f t="shared" si="10"/>
        <v>1</v>
      </c>
    </row>
    <row r="103" ht="15.75" customHeight="1">
      <c r="A103" s="6" t="s">
        <v>372</v>
      </c>
      <c r="B103" s="7" t="s">
        <v>478</v>
      </c>
      <c r="C103" s="7" t="s">
        <v>461</v>
      </c>
      <c r="D103" s="7" t="s">
        <v>26</v>
      </c>
      <c r="E103" s="7" t="s">
        <v>123</v>
      </c>
      <c r="F103" s="7">
        <v>367021.901</v>
      </c>
      <c r="G103" s="7">
        <v>9902469.866</v>
      </c>
      <c r="H103" s="20" t="s">
        <v>373</v>
      </c>
      <c r="I103" s="20" t="s">
        <v>374</v>
      </c>
      <c r="J103" s="21">
        <v>380.238</v>
      </c>
      <c r="K103" s="14">
        <v>88.72</v>
      </c>
      <c r="L103" s="14">
        <v>61.0</v>
      </c>
      <c r="M103" s="14">
        <v>365.51</v>
      </c>
      <c r="N103" s="14"/>
      <c r="O103" s="23">
        <v>102.0</v>
      </c>
      <c r="P103" s="5">
        <f t="shared" si="1"/>
        <v>895.468</v>
      </c>
      <c r="Q103" s="5">
        <f t="shared" si="2"/>
        <v>0.42</v>
      </c>
      <c r="R103" s="5">
        <f t="shared" si="3"/>
        <v>0.07</v>
      </c>
      <c r="S103" s="5">
        <f t="shared" si="4"/>
        <v>0.41</v>
      </c>
      <c r="T103" s="5">
        <f t="shared" si="5"/>
        <v>0.1</v>
      </c>
      <c r="U103" s="5">
        <f t="shared" si="6"/>
        <v>0.01183</v>
      </c>
      <c r="V103" s="5">
        <f t="shared" si="11"/>
        <v>0.09408</v>
      </c>
      <c r="W103" s="5">
        <f t="shared" si="7"/>
        <v>0.0482</v>
      </c>
      <c r="X103" s="5">
        <f t="shared" si="8"/>
        <v>0.05125</v>
      </c>
      <c r="Y103" s="5">
        <f t="shared" si="9"/>
        <v>0.21</v>
      </c>
      <c r="Z103" s="5">
        <f t="shared" si="10"/>
        <v>1</v>
      </c>
    </row>
    <row r="104" ht="15.75" customHeight="1">
      <c r="A104" s="6" t="s">
        <v>376</v>
      </c>
      <c r="B104" s="7" t="s">
        <v>478</v>
      </c>
      <c r="C104" s="7" t="s">
        <v>461</v>
      </c>
      <c r="D104" s="7" t="s">
        <v>26</v>
      </c>
      <c r="E104" s="7" t="s">
        <v>123</v>
      </c>
      <c r="F104" s="7">
        <v>366781.171</v>
      </c>
      <c r="G104" s="7">
        <v>9902673.91</v>
      </c>
      <c r="H104" s="20" t="s">
        <v>377</v>
      </c>
      <c r="I104" s="20" t="s">
        <v>378</v>
      </c>
      <c r="J104" s="21">
        <v>363.131</v>
      </c>
      <c r="K104" s="14">
        <v>91.31</v>
      </c>
      <c r="L104" s="14">
        <v>140.13</v>
      </c>
      <c r="M104" s="14">
        <v>366.2</v>
      </c>
      <c r="N104" s="14"/>
      <c r="O104" s="5">
        <v>103.0</v>
      </c>
      <c r="P104" s="5">
        <f t="shared" si="1"/>
        <v>960.771</v>
      </c>
      <c r="Q104" s="5">
        <f t="shared" si="2"/>
        <v>0.38</v>
      </c>
      <c r="R104" s="5">
        <f t="shared" si="3"/>
        <v>0.15</v>
      </c>
      <c r="S104" s="5">
        <f t="shared" si="4"/>
        <v>0.38</v>
      </c>
      <c r="T104" s="5">
        <f t="shared" si="5"/>
        <v>0.1</v>
      </c>
      <c r="U104" s="5">
        <f t="shared" si="6"/>
        <v>0.02535</v>
      </c>
      <c r="V104" s="5">
        <f t="shared" si="11"/>
        <v>0.08512</v>
      </c>
      <c r="W104" s="5">
        <f t="shared" si="7"/>
        <v>0.0482</v>
      </c>
      <c r="X104" s="5">
        <f t="shared" si="8"/>
        <v>0.0475</v>
      </c>
      <c r="Y104" s="5">
        <f t="shared" si="9"/>
        <v>0.21</v>
      </c>
      <c r="Z104" s="5">
        <f t="shared" si="10"/>
        <v>1</v>
      </c>
    </row>
    <row r="105" ht="15.75" customHeight="1">
      <c r="A105" s="6" t="s">
        <v>380</v>
      </c>
      <c r="B105" s="7" t="s">
        <v>478</v>
      </c>
      <c r="C105" s="7" t="s">
        <v>461</v>
      </c>
      <c r="D105" s="7" t="s">
        <v>26</v>
      </c>
      <c r="E105" s="7" t="s">
        <v>470</v>
      </c>
      <c r="F105" s="7">
        <v>366536.863</v>
      </c>
      <c r="G105" s="7">
        <v>9902881.003</v>
      </c>
      <c r="H105" s="20" t="s">
        <v>381</v>
      </c>
      <c r="I105" s="20" t="s">
        <v>383</v>
      </c>
      <c r="J105" s="21">
        <v>320.213</v>
      </c>
      <c r="K105" s="14">
        <v>79.43</v>
      </c>
      <c r="L105" s="14">
        <v>153.72</v>
      </c>
      <c r="M105" s="14">
        <v>585.43</v>
      </c>
      <c r="N105" s="14"/>
      <c r="O105" s="23">
        <v>104.0</v>
      </c>
      <c r="P105" s="5">
        <f t="shared" si="1"/>
        <v>1138.793</v>
      </c>
      <c r="Q105" s="5">
        <f t="shared" si="2"/>
        <v>0.28</v>
      </c>
      <c r="R105" s="5">
        <f t="shared" si="3"/>
        <v>0.13</v>
      </c>
      <c r="S105" s="5">
        <f t="shared" si="4"/>
        <v>0.51</v>
      </c>
      <c r="T105" s="5">
        <f t="shared" si="5"/>
        <v>0.07</v>
      </c>
      <c r="U105" s="5">
        <f t="shared" si="6"/>
        <v>0.02197</v>
      </c>
      <c r="V105" s="5">
        <f t="shared" si="11"/>
        <v>0.06272</v>
      </c>
      <c r="W105" s="5">
        <f t="shared" si="7"/>
        <v>0.03374</v>
      </c>
      <c r="X105" s="5">
        <f t="shared" si="8"/>
        <v>0.06375</v>
      </c>
      <c r="Y105" s="5">
        <f t="shared" si="9"/>
        <v>0.18</v>
      </c>
      <c r="Z105" s="5">
        <f t="shared" si="10"/>
        <v>1</v>
      </c>
    </row>
    <row r="106" ht="15.75" customHeight="1">
      <c r="A106" s="6" t="s">
        <v>385</v>
      </c>
      <c r="B106" s="7" t="s">
        <v>478</v>
      </c>
      <c r="C106" s="7" t="s">
        <v>461</v>
      </c>
      <c r="D106" s="7" t="s">
        <v>26</v>
      </c>
      <c r="E106" s="7" t="s">
        <v>470</v>
      </c>
      <c r="F106" s="7">
        <v>366246.35</v>
      </c>
      <c r="G106" s="7">
        <v>9903127.174</v>
      </c>
      <c r="H106" s="20" t="s">
        <v>386</v>
      </c>
      <c r="I106" s="20" t="s">
        <v>387</v>
      </c>
      <c r="J106" s="21">
        <v>380.777</v>
      </c>
      <c r="K106" s="14">
        <v>75.87</v>
      </c>
      <c r="L106" s="14">
        <v>164.35</v>
      </c>
      <c r="M106" s="14">
        <v>895.55</v>
      </c>
      <c r="N106" s="14"/>
      <c r="O106" s="5">
        <v>105.0</v>
      </c>
      <c r="P106" s="5">
        <f t="shared" si="1"/>
        <v>1516.547</v>
      </c>
      <c r="Q106" s="5">
        <f t="shared" si="2"/>
        <v>0.25</v>
      </c>
      <c r="R106" s="5">
        <f t="shared" si="3"/>
        <v>0.11</v>
      </c>
      <c r="S106" s="5">
        <f t="shared" si="4"/>
        <v>0.59</v>
      </c>
      <c r="T106" s="5">
        <f t="shared" si="5"/>
        <v>0.05</v>
      </c>
      <c r="U106" s="5">
        <f t="shared" si="6"/>
        <v>0.01859</v>
      </c>
      <c r="V106" s="5">
        <f t="shared" si="11"/>
        <v>0.056</v>
      </c>
      <c r="W106" s="5">
        <f t="shared" si="7"/>
        <v>0.0241</v>
      </c>
      <c r="X106" s="5">
        <f t="shared" si="8"/>
        <v>0.07375</v>
      </c>
      <c r="Y106" s="5">
        <f t="shared" si="9"/>
        <v>0.17</v>
      </c>
      <c r="Z106" s="5">
        <f t="shared" si="10"/>
        <v>0</v>
      </c>
    </row>
    <row r="107" ht="15.75" customHeight="1">
      <c r="A107" s="6" t="s">
        <v>388</v>
      </c>
      <c r="B107" s="7" t="s">
        <v>478</v>
      </c>
      <c r="C107" s="7" t="s">
        <v>461</v>
      </c>
      <c r="D107" s="7" t="s">
        <v>26</v>
      </c>
      <c r="E107" s="7" t="s">
        <v>474</v>
      </c>
      <c r="F107" s="7">
        <v>365956.238</v>
      </c>
      <c r="G107" s="7">
        <v>9903373.076</v>
      </c>
      <c r="H107" s="20" t="s">
        <v>389</v>
      </c>
      <c r="I107" s="20" t="s">
        <v>390</v>
      </c>
      <c r="J107" s="21">
        <v>380.335</v>
      </c>
      <c r="K107" s="14">
        <v>73.44</v>
      </c>
      <c r="L107" s="14">
        <v>163.16</v>
      </c>
      <c r="M107" s="14">
        <v>1359.67</v>
      </c>
      <c r="N107" s="14"/>
      <c r="O107" s="23">
        <v>106.0</v>
      </c>
      <c r="P107" s="5">
        <f t="shared" si="1"/>
        <v>1976.605</v>
      </c>
      <c r="Q107" s="5">
        <f t="shared" si="2"/>
        <v>0.19</v>
      </c>
      <c r="R107" s="5">
        <f t="shared" si="3"/>
        <v>0.08</v>
      </c>
      <c r="S107" s="5">
        <f t="shared" si="4"/>
        <v>0.69</v>
      </c>
      <c r="T107" s="5">
        <f t="shared" si="5"/>
        <v>0.04</v>
      </c>
      <c r="U107" s="5">
        <f t="shared" si="6"/>
        <v>0.01352</v>
      </c>
      <c r="V107" s="5">
        <f t="shared" si="11"/>
        <v>0.04256</v>
      </c>
      <c r="W107" s="5">
        <f t="shared" si="7"/>
        <v>0.01928</v>
      </c>
      <c r="X107" s="5">
        <f t="shared" si="8"/>
        <v>0.08625</v>
      </c>
      <c r="Y107" s="5">
        <f t="shared" si="9"/>
        <v>0.16</v>
      </c>
      <c r="Z107" s="5">
        <f t="shared" si="10"/>
        <v>0</v>
      </c>
    </row>
    <row r="108" ht="15.75" customHeight="1">
      <c r="A108" s="6" t="s">
        <v>391</v>
      </c>
      <c r="B108" s="7" t="s">
        <v>478</v>
      </c>
      <c r="C108" s="7" t="s">
        <v>461</v>
      </c>
      <c r="D108" s="7" t="s">
        <v>26</v>
      </c>
      <c r="E108" s="7" t="s">
        <v>483</v>
      </c>
      <c r="F108" s="7">
        <v>365654.168</v>
      </c>
      <c r="G108" s="7">
        <v>9903629.13</v>
      </c>
      <c r="H108" s="20" t="s">
        <v>392</v>
      </c>
      <c r="I108" s="20" t="s">
        <v>393</v>
      </c>
      <c r="J108" s="21">
        <v>395.975</v>
      </c>
      <c r="K108" s="14">
        <v>72.43</v>
      </c>
      <c r="L108" s="14">
        <v>173.81</v>
      </c>
      <c r="M108" s="14">
        <v>1174.46</v>
      </c>
      <c r="N108" s="14"/>
      <c r="O108" s="5">
        <v>107.0</v>
      </c>
      <c r="P108" s="5">
        <f t="shared" si="1"/>
        <v>1816.675</v>
      </c>
      <c r="Q108" s="5">
        <f t="shared" si="2"/>
        <v>0.22</v>
      </c>
      <c r="R108" s="5">
        <f t="shared" si="3"/>
        <v>0.1</v>
      </c>
      <c r="S108" s="5">
        <f t="shared" si="4"/>
        <v>0.65</v>
      </c>
      <c r="T108" s="5">
        <f t="shared" si="5"/>
        <v>0.04</v>
      </c>
      <c r="U108" s="5">
        <f t="shared" si="6"/>
        <v>0.0169</v>
      </c>
      <c r="V108" s="5">
        <f t="shared" si="11"/>
        <v>0.04928</v>
      </c>
      <c r="W108" s="5">
        <f t="shared" si="7"/>
        <v>0.01928</v>
      </c>
      <c r="X108" s="5">
        <f t="shared" si="8"/>
        <v>0.08125</v>
      </c>
      <c r="Y108" s="5">
        <f t="shared" si="9"/>
        <v>0.17</v>
      </c>
      <c r="Z108" s="5">
        <f t="shared" si="10"/>
        <v>0</v>
      </c>
    </row>
    <row r="109" ht="15.75" customHeight="1">
      <c r="A109" s="6" t="s">
        <v>394</v>
      </c>
      <c r="B109" s="7" t="s">
        <v>478</v>
      </c>
      <c r="C109" s="7" t="s">
        <v>461</v>
      </c>
      <c r="D109" s="7" t="s">
        <v>26</v>
      </c>
      <c r="E109" s="7" t="s">
        <v>470</v>
      </c>
      <c r="F109" s="7">
        <v>365374.376</v>
      </c>
      <c r="G109" s="7">
        <v>9903866.306</v>
      </c>
      <c r="H109" s="20" t="s">
        <v>395</v>
      </c>
      <c r="I109" s="20" t="s">
        <v>396</v>
      </c>
      <c r="J109" s="21">
        <v>366.768</v>
      </c>
      <c r="K109" s="14">
        <v>66.46</v>
      </c>
      <c r="L109" s="14">
        <v>165.34</v>
      </c>
      <c r="M109" s="14">
        <v>2165.75</v>
      </c>
      <c r="N109" s="14"/>
      <c r="O109" s="23">
        <v>108.0</v>
      </c>
      <c r="P109" s="5">
        <f t="shared" si="1"/>
        <v>2764.318</v>
      </c>
      <c r="Q109" s="5">
        <f t="shared" si="2"/>
        <v>0.13</v>
      </c>
      <c r="R109" s="5">
        <f t="shared" si="3"/>
        <v>0.06</v>
      </c>
      <c r="S109" s="5">
        <f t="shared" si="4"/>
        <v>0.78</v>
      </c>
      <c r="T109" s="5">
        <f t="shared" si="5"/>
        <v>0.02</v>
      </c>
      <c r="U109" s="5">
        <f t="shared" si="6"/>
        <v>0.01014</v>
      </c>
      <c r="V109" s="5">
        <f t="shared" si="11"/>
        <v>0.02912</v>
      </c>
      <c r="W109" s="5">
        <f t="shared" si="7"/>
        <v>0.00964</v>
      </c>
      <c r="X109" s="5">
        <f t="shared" si="8"/>
        <v>0.0975</v>
      </c>
      <c r="Y109" s="5">
        <f t="shared" si="9"/>
        <v>0.15</v>
      </c>
      <c r="Z109" s="5">
        <f t="shared" si="10"/>
        <v>0</v>
      </c>
    </row>
    <row r="110" ht="15.75" customHeight="1">
      <c r="A110" s="6" t="s">
        <v>397</v>
      </c>
      <c r="B110" s="7" t="s">
        <v>478</v>
      </c>
      <c r="C110" s="7" t="s">
        <v>461</v>
      </c>
      <c r="D110" s="7" t="s">
        <v>26</v>
      </c>
      <c r="E110" s="7" t="s">
        <v>474</v>
      </c>
      <c r="F110" s="7">
        <v>365083.341</v>
      </c>
      <c r="G110" s="7">
        <v>9904112.901</v>
      </c>
      <c r="H110" s="20" t="s">
        <v>398</v>
      </c>
      <c r="I110" s="20" t="s">
        <v>399</v>
      </c>
      <c r="J110" s="21">
        <v>381.494</v>
      </c>
      <c r="K110" s="14">
        <v>64.4</v>
      </c>
      <c r="L110" s="14">
        <v>170.3</v>
      </c>
      <c r="M110" s="14">
        <v>1836.09</v>
      </c>
      <c r="N110" s="14"/>
      <c r="O110" s="5">
        <v>109.0</v>
      </c>
      <c r="P110" s="5">
        <f t="shared" si="1"/>
        <v>2452.284</v>
      </c>
      <c r="Q110" s="5">
        <f t="shared" si="2"/>
        <v>0.16</v>
      </c>
      <c r="R110" s="5">
        <f t="shared" si="3"/>
        <v>0.07</v>
      </c>
      <c r="S110" s="5">
        <f t="shared" si="4"/>
        <v>0.75</v>
      </c>
      <c r="T110" s="5">
        <f t="shared" si="5"/>
        <v>0.03</v>
      </c>
      <c r="U110" s="5">
        <f t="shared" si="6"/>
        <v>0.01183</v>
      </c>
      <c r="V110" s="5">
        <f t="shared" si="11"/>
        <v>0.03584</v>
      </c>
      <c r="W110" s="5">
        <f t="shared" si="7"/>
        <v>0.01446</v>
      </c>
      <c r="X110" s="5">
        <f t="shared" si="8"/>
        <v>0.09375</v>
      </c>
      <c r="Y110" s="5">
        <f t="shared" si="9"/>
        <v>0.16</v>
      </c>
      <c r="Z110" s="5">
        <f t="shared" si="10"/>
        <v>0</v>
      </c>
    </row>
    <row r="111" ht="15.75" customHeight="1">
      <c r="A111" s="6" t="s">
        <v>400</v>
      </c>
      <c r="B111" s="7" t="s">
        <v>478</v>
      </c>
      <c r="C111" s="7" t="s">
        <v>461</v>
      </c>
      <c r="D111" s="7" t="s">
        <v>26</v>
      </c>
      <c r="E111" s="7" t="s">
        <v>474</v>
      </c>
      <c r="F111" s="7">
        <v>364793.971</v>
      </c>
      <c r="G111" s="7">
        <v>9904358.197</v>
      </c>
      <c r="H111" s="20" t="s">
        <v>401</v>
      </c>
      <c r="I111" s="20" t="s">
        <v>402</v>
      </c>
      <c r="J111" s="21">
        <v>379.336</v>
      </c>
      <c r="K111" s="14">
        <v>60.13</v>
      </c>
      <c r="L111" s="14">
        <v>205.73</v>
      </c>
      <c r="M111" s="14">
        <v>1381.52</v>
      </c>
      <c r="N111" s="14"/>
      <c r="O111" s="23">
        <v>110.0</v>
      </c>
      <c r="P111" s="5">
        <f t="shared" si="1"/>
        <v>2026.716</v>
      </c>
      <c r="Q111" s="5">
        <f t="shared" si="2"/>
        <v>0.19</v>
      </c>
      <c r="R111" s="5">
        <f t="shared" si="3"/>
        <v>0.1</v>
      </c>
      <c r="S111" s="5">
        <f t="shared" si="4"/>
        <v>0.68</v>
      </c>
      <c r="T111" s="5">
        <f t="shared" si="5"/>
        <v>0.03</v>
      </c>
      <c r="U111" s="5">
        <f t="shared" si="6"/>
        <v>0.0169</v>
      </c>
      <c r="V111" s="5">
        <f t="shared" si="11"/>
        <v>0.04256</v>
      </c>
      <c r="W111" s="5">
        <f t="shared" si="7"/>
        <v>0.01446</v>
      </c>
      <c r="X111" s="5">
        <f t="shared" si="8"/>
        <v>0.085</v>
      </c>
      <c r="Y111" s="5">
        <f t="shared" si="9"/>
        <v>0.16</v>
      </c>
      <c r="Z111" s="5">
        <f t="shared" si="10"/>
        <v>0</v>
      </c>
    </row>
    <row r="112" ht="15.75" customHeight="1">
      <c r="A112" s="6" t="s">
        <v>403</v>
      </c>
      <c r="B112" s="7" t="s">
        <v>478</v>
      </c>
      <c r="C112" s="7" t="s">
        <v>461</v>
      </c>
      <c r="D112" s="7" t="s">
        <v>26</v>
      </c>
      <c r="E112" s="7" t="s">
        <v>474</v>
      </c>
      <c r="F112" s="7">
        <v>364503.483</v>
      </c>
      <c r="G112" s="7">
        <v>9904604.402</v>
      </c>
      <c r="H112" s="20" t="s">
        <v>404</v>
      </c>
      <c r="I112" s="20" t="s">
        <v>405</v>
      </c>
      <c r="J112" s="21">
        <v>380.846</v>
      </c>
      <c r="K112" s="14">
        <v>53.16</v>
      </c>
      <c r="L112" s="14">
        <v>179.48</v>
      </c>
      <c r="M112" s="14">
        <v>1109.7</v>
      </c>
      <c r="N112" s="14"/>
      <c r="O112" s="5">
        <v>111.0</v>
      </c>
      <c r="P112" s="5">
        <f t="shared" si="1"/>
        <v>1723.186</v>
      </c>
      <c r="Q112" s="5">
        <f t="shared" si="2"/>
        <v>0.22</v>
      </c>
      <c r="R112" s="5">
        <f t="shared" si="3"/>
        <v>0.1</v>
      </c>
      <c r="S112" s="5">
        <f t="shared" si="4"/>
        <v>0.64</v>
      </c>
      <c r="T112" s="5">
        <f t="shared" si="5"/>
        <v>0.03</v>
      </c>
      <c r="U112" s="5">
        <f t="shared" si="6"/>
        <v>0.0169</v>
      </c>
      <c r="V112" s="5">
        <f t="shared" si="11"/>
        <v>0.04928</v>
      </c>
      <c r="W112" s="5">
        <f t="shared" si="7"/>
        <v>0.01446</v>
      </c>
      <c r="X112" s="5">
        <f t="shared" si="8"/>
        <v>0.08</v>
      </c>
      <c r="Y112" s="5">
        <f t="shared" si="9"/>
        <v>0.16</v>
      </c>
      <c r="Z112" s="5">
        <f t="shared" si="10"/>
        <v>0</v>
      </c>
    </row>
    <row r="113" ht="15.75" customHeight="1">
      <c r="A113" s="6" t="s">
        <v>406</v>
      </c>
      <c r="B113" s="7" t="s">
        <v>478</v>
      </c>
      <c r="C113" s="7" t="s">
        <v>461</v>
      </c>
      <c r="D113" s="7" t="s">
        <v>26</v>
      </c>
      <c r="E113" s="7" t="s">
        <v>474</v>
      </c>
      <c r="F113" s="7">
        <v>364213.257</v>
      </c>
      <c r="G113" s="7">
        <v>9904850.381</v>
      </c>
      <c r="H113" s="20" t="s">
        <v>407</v>
      </c>
      <c r="I113" s="20" t="s">
        <v>408</v>
      </c>
      <c r="J113" s="21">
        <v>380.404</v>
      </c>
      <c r="K113" s="14">
        <v>49.77</v>
      </c>
      <c r="L113" s="14">
        <v>56.26</v>
      </c>
      <c r="M113" s="14">
        <v>881.31</v>
      </c>
      <c r="N113" s="14"/>
      <c r="O113" s="23">
        <v>112.0</v>
      </c>
      <c r="P113" s="5">
        <f t="shared" si="1"/>
        <v>1367.744</v>
      </c>
      <c r="Q113" s="5">
        <f t="shared" si="2"/>
        <v>0.28</v>
      </c>
      <c r="R113" s="5">
        <f t="shared" si="3"/>
        <v>0.04</v>
      </c>
      <c r="S113" s="5">
        <f t="shared" si="4"/>
        <v>0.64</v>
      </c>
      <c r="T113" s="5">
        <f t="shared" si="5"/>
        <v>0.04</v>
      </c>
      <c r="U113" s="5">
        <f t="shared" si="6"/>
        <v>0.00676</v>
      </c>
      <c r="V113" s="5">
        <f t="shared" si="11"/>
        <v>0.06272</v>
      </c>
      <c r="W113" s="5">
        <f t="shared" si="7"/>
        <v>0.01928</v>
      </c>
      <c r="X113" s="5">
        <f t="shared" si="8"/>
        <v>0.08</v>
      </c>
      <c r="Y113" s="5">
        <f t="shared" si="9"/>
        <v>0.17</v>
      </c>
      <c r="Z113" s="5">
        <f t="shared" si="10"/>
        <v>0</v>
      </c>
    </row>
    <row r="114" ht="15.75" customHeight="1">
      <c r="A114" s="6" t="s">
        <v>409</v>
      </c>
      <c r="B114" s="7" t="s">
        <v>478</v>
      </c>
      <c r="C114" s="7" t="s">
        <v>461</v>
      </c>
      <c r="D114" s="7" t="s">
        <v>26</v>
      </c>
      <c r="E114" s="7" t="s">
        <v>481</v>
      </c>
      <c r="F114" s="7">
        <v>363924.182</v>
      </c>
      <c r="G114" s="7">
        <v>9904991.626</v>
      </c>
      <c r="H114" s="20" t="s">
        <v>410</v>
      </c>
      <c r="I114" s="20" t="s">
        <v>411</v>
      </c>
      <c r="J114" s="21">
        <v>321.744</v>
      </c>
      <c r="K114" s="14">
        <v>54.99</v>
      </c>
      <c r="L114" s="14">
        <v>107.41</v>
      </c>
      <c r="M114" s="14">
        <v>540.28</v>
      </c>
      <c r="N114" s="14"/>
      <c r="O114" s="5">
        <v>113.0</v>
      </c>
      <c r="P114" s="5">
        <f t="shared" si="1"/>
        <v>1024.424</v>
      </c>
      <c r="Q114" s="5">
        <f t="shared" si="2"/>
        <v>0.31</v>
      </c>
      <c r="R114" s="5">
        <f t="shared" si="3"/>
        <v>0.1</v>
      </c>
      <c r="S114" s="5">
        <f t="shared" si="4"/>
        <v>0.53</v>
      </c>
      <c r="T114" s="5">
        <f t="shared" si="5"/>
        <v>0.05</v>
      </c>
      <c r="U114" s="5">
        <f t="shared" si="6"/>
        <v>0.0169</v>
      </c>
      <c r="V114" s="5">
        <f t="shared" si="11"/>
        <v>0.06944</v>
      </c>
      <c r="W114" s="5">
        <f t="shared" si="7"/>
        <v>0.0241</v>
      </c>
      <c r="X114" s="5">
        <f t="shared" si="8"/>
        <v>0.06625</v>
      </c>
      <c r="Y114" s="5">
        <f t="shared" si="9"/>
        <v>0.18</v>
      </c>
      <c r="Z114" s="5">
        <f t="shared" si="10"/>
        <v>1</v>
      </c>
    </row>
    <row r="115" ht="15.75" customHeight="1">
      <c r="A115" s="61"/>
      <c r="K115" s="62"/>
      <c r="L115" s="62"/>
      <c r="M115" s="62"/>
      <c r="N115" s="62"/>
    </row>
    <row r="116" ht="15.75" customHeight="1">
      <c r="A116" s="61"/>
      <c r="K116" s="62"/>
      <c r="L116" s="62"/>
      <c r="M116" s="62"/>
      <c r="N116" s="62"/>
    </row>
    <row r="117" ht="15.75" customHeight="1">
      <c r="A117" s="61"/>
      <c r="K117" s="62"/>
      <c r="L117" s="62"/>
      <c r="M117" s="62"/>
      <c r="N117" s="62"/>
    </row>
    <row r="118" ht="15.75" customHeight="1">
      <c r="A118" s="61"/>
      <c r="K118" s="62"/>
      <c r="L118" s="62"/>
      <c r="M118" s="62"/>
      <c r="N118" s="62"/>
    </row>
    <row r="119" ht="15.75" customHeight="1">
      <c r="A119" s="61"/>
      <c r="K119" s="62"/>
      <c r="L119" s="62"/>
      <c r="M119" s="62"/>
      <c r="N119" s="62"/>
    </row>
    <row r="120" ht="15.75" customHeight="1">
      <c r="A120" s="61"/>
      <c r="K120" s="62"/>
      <c r="L120" s="62"/>
      <c r="M120" s="62"/>
      <c r="N120" s="62"/>
    </row>
    <row r="121" ht="15.75" customHeight="1">
      <c r="A121" s="61"/>
      <c r="K121" s="62"/>
      <c r="L121" s="62"/>
      <c r="M121" s="62"/>
      <c r="N121" s="62"/>
    </row>
    <row r="122" ht="15.75" customHeight="1">
      <c r="A122" s="61"/>
      <c r="K122" s="62"/>
      <c r="L122" s="62"/>
      <c r="M122" s="62"/>
      <c r="N122" s="62"/>
    </row>
    <row r="123" ht="15.75" customHeight="1">
      <c r="A123" s="61"/>
      <c r="K123" s="62"/>
      <c r="L123" s="62"/>
      <c r="M123" s="62"/>
      <c r="N123" s="62"/>
    </row>
    <row r="124" ht="15.75" customHeight="1">
      <c r="A124" s="61"/>
      <c r="K124" s="62"/>
      <c r="L124" s="62"/>
      <c r="M124" s="62"/>
      <c r="N124" s="62"/>
    </row>
    <row r="125" ht="15.75" customHeight="1">
      <c r="A125" s="61"/>
      <c r="K125" s="62"/>
      <c r="L125" s="62"/>
      <c r="M125" s="62"/>
      <c r="N125" s="62"/>
    </row>
    <row r="126" ht="15.75" customHeight="1">
      <c r="A126" s="61"/>
      <c r="K126" s="62"/>
      <c r="L126" s="62"/>
      <c r="M126" s="62"/>
      <c r="N126" s="62"/>
    </row>
    <row r="127" ht="15.75" customHeight="1">
      <c r="A127" s="61"/>
      <c r="K127" s="62"/>
      <c r="L127" s="62"/>
      <c r="M127" s="62"/>
      <c r="N127" s="62"/>
    </row>
    <row r="128" ht="15.75" customHeight="1">
      <c r="A128" s="61"/>
      <c r="K128" s="62"/>
      <c r="L128" s="62"/>
      <c r="M128" s="62"/>
      <c r="N128" s="62"/>
    </row>
    <row r="129" ht="15.75" customHeight="1">
      <c r="A129" s="61"/>
      <c r="K129" s="62"/>
      <c r="L129" s="62"/>
      <c r="M129" s="62"/>
      <c r="N129" s="62"/>
    </row>
    <row r="130" ht="15.75" customHeight="1">
      <c r="A130" s="61"/>
      <c r="K130" s="62"/>
      <c r="L130" s="62"/>
      <c r="M130" s="62"/>
      <c r="N130" s="62"/>
    </row>
    <row r="131" ht="15.75" customHeight="1">
      <c r="A131" s="61"/>
      <c r="K131" s="62"/>
      <c r="L131" s="62"/>
      <c r="M131" s="62"/>
      <c r="N131" s="62"/>
    </row>
    <row r="132" ht="15.75" customHeight="1">
      <c r="A132" s="61"/>
      <c r="K132" s="62"/>
      <c r="L132" s="62"/>
      <c r="M132" s="62"/>
      <c r="N132" s="62"/>
    </row>
    <row r="133" ht="15.75" customHeight="1">
      <c r="A133" s="61"/>
      <c r="K133" s="62"/>
      <c r="L133" s="62"/>
      <c r="M133" s="62"/>
      <c r="N133" s="62"/>
    </row>
    <row r="134" ht="15.75" customHeight="1">
      <c r="A134" s="61"/>
      <c r="K134" s="62"/>
      <c r="L134" s="62"/>
      <c r="M134" s="62"/>
      <c r="N134" s="62"/>
    </row>
    <row r="135" ht="15.75" customHeight="1">
      <c r="A135" s="61"/>
      <c r="K135" s="62"/>
      <c r="L135" s="62"/>
      <c r="M135" s="62"/>
      <c r="N135" s="62"/>
    </row>
    <row r="136" ht="15.75" customHeight="1">
      <c r="A136" s="61"/>
      <c r="K136" s="62"/>
      <c r="L136" s="62"/>
      <c r="M136" s="62"/>
      <c r="N136" s="62"/>
    </row>
    <row r="137" ht="15.75" customHeight="1">
      <c r="A137" s="61"/>
      <c r="K137" s="62"/>
      <c r="L137" s="62"/>
      <c r="M137" s="62"/>
      <c r="N137" s="62"/>
    </row>
    <row r="138" ht="15.75" customHeight="1">
      <c r="A138" s="61"/>
      <c r="K138" s="62"/>
      <c r="L138" s="62"/>
      <c r="M138" s="62"/>
      <c r="N138" s="62"/>
    </row>
    <row r="139" ht="15.75" customHeight="1">
      <c r="A139" s="61"/>
      <c r="K139" s="62"/>
      <c r="L139" s="62"/>
      <c r="M139" s="62"/>
      <c r="N139" s="62"/>
    </row>
    <row r="140" ht="15.75" customHeight="1">
      <c r="A140" s="61"/>
      <c r="K140" s="62"/>
      <c r="L140" s="62"/>
      <c r="M140" s="62"/>
      <c r="N140" s="62"/>
    </row>
    <row r="141" ht="15.75" customHeight="1">
      <c r="A141" s="61"/>
      <c r="K141" s="62"/>
      <c r="L141" s="62"/>
      <c r="M141" s="62"/>
      <c r="N141" s="62"/>
    </row>
    <row r="142" ht="15.75" customHeight="1">
      <c r="A142" s="61"/>
      <c r="K142" s="62"/>
      <c r="L142" s="62"/>
      <c r="M142" s="62"/>
      <c r="N142" s="62"/>
    </row>
    <row r="143" ht="15.75" customHeight="1">
      <c r="A143" s="61"/>
      <c r="K143" s="62"/>
      <c r="L143" s="62"/>
      <c r="M143" s="62"/>
      <c r="N143" s="62"/>
    </row>
    <row r="144" ht="15.75" customHeight="1">
      <c r="A144" s="61"/>
      <c r="K144" s="62"/>
      <c r="L144" s="62"/>
      <c r="M144" s="62"/>
      <c r="N144" s="62"/>
    </row>
    <row r="145" ht="15.75" customHeight="1">
      <c r="A145" s="61"/>
      <c r="K145" s="62"/>
      <c r="L145" s="62"/>
      <c r="M145" s="62"/>
      <c r="N145" s="62"/>
    </row>
    <row r="146" ht="15.75" customHeight="1">
      <c r="A146" s="61"/>
      <c r="K146" s="62"/>
      <c r="L146" s="62"/>
      <c r="M146" s="62"/>
      <c r="N146" s="62"/>
    </row>
    <row r="147" ht="15.75" customHeight="1">
      <c r="A147" s="61"/>
      <c r="K147" s="62"/>
      <c r="L147" s="62"/>
      <c r="M147" s="62"/>
      <c r="N147" s="62"/>
    </row>
    <row r="148" ht="15.75" customHeight="1">
      <c r="A148" s="61"/>
      <c r="K148" s="62"/>
      <c r="L148" s="62"/>
      <c r="M148" s="62"/>
      <c r="N148" s="62"/>
    </row>
    <row r="149" ht="15.75" customHeight="1">
      <c r="A149" s="61"/>
      <c r="K149" s="62"/>
      <c r="L149" s="62"/>
      <c r="M149" s="62"/>
      <c r="N149" s="62"/>
    </row>
    <row r="150" ht="15.75" customHeight="1">
      <c r="A150" s="61"/>
      <c r="K150" s="62"/>
      <c r="L150" s="62"/>
      <c r="M150" s="62"/>
      <c r="N150" s="62"/>
    </row>
    <row r="151" ht="15.75" customHeight="1">
      <c r="A151" s="61"/>
      <c r="K151" s="62"/>
      <c r="L151" s="62"/>
      <c r="M151" s="62"/>
      <c r="N151" s="62"/>
    </row>
    <row r="152" ht="15.75" customHeight="1">
      <c r="A152" s="61"/>
      <c r="K152" s="62"/>
      <c r="L152" s="62"/>
      <c r="M152" s="62"/>
      <c r="N152" s="62"/>
    </row>
    <row r="153" ht="15.75" customHeight="1">
      <c r="A153" s="61"/>
      <c r="K153" s="62"/>
      <c r="L153" s="62"/>
      <c r="M153" s="62"/>
      <c r="N153" s="62"/>
    </row>
    <row r="154" ht="15.75" customHeight="1">
      <c r="A154" s="61"/>
      <c r="K154" s="62"/>
      <c r="L154" s="62"/>
      <c r="M154" s="62"/>
      <c r="N154" s="62"/>
    </row>
    <row r="155" ht="15.75" customHeight="1">
      <c r="A155" s="61"/>
      <c r="K155" s="62"/>
      <c r="L155" s="62"/>
      <c r="M155" s="62"/>
      <c r="N155" s="62"/>
    </row>
    <row r="156" ht="15.75" customHeight="1">
      <c r="A156" s="61"/>
      <c r="K156" s="62"/>
      <c r="L156" s="62"/>
      <c r="M156" s="62"/>
      <c r="N156" s="62"/>
    </row>
    <row r="157" ht="15.75" customHeight="1">
      <c r="A157" s="61"/>
      <c r="K157" s="62"/>
      <c r="L157" s="62"/>
      <c r="M157" s="62"/>
      <c r="N157" s="62"/>
    </row>
    <row r="158" ht="15.75" customHeight="1">
      <c r="A158" s="61"/>
      <c r="K158" s="62"/>
      <c r="L158" s="62"/>
      <c r="M158" s="62"/>
      <c r="N158" s="62"/>
    </row>
    <row r="159" ht="15.75" customHeight="1">
      <c r="A159" s="61"/>
      <c r="K159" s="62"/>
      <c r="L159" s="62"/>
      <c r="M159" s="62"/>
      <c r="N159" s="62"/>
    </row>
    <row r="160" ht="15.75" customHeight="1">
      <c r="A160" s="61"/>
      <c r="K160" s="62"/>
      <c r="L160" s="62"/>
      <c r="M160" s="62"/>
      <c r="N160" s="62"/>
    </row>
    <row r="161" ht="15.75" customHeight="1">
      <c r="A161" s="61"/>
      <c r="K161" s="62"/>
      <c r="L161" s="62"/>
      <c r="M161" s="62"/>
      <c r="N161" s="62"/>
    </row>
    <row r="162" ht="15.75" customHeight="1">
      <c r="A162" s="61"/>
      <c r="K162" s="62"/>
      <c r="L162" s="62"/>
      <c r="M162" s="62"/>
      <c r="N162" s="62"/>
    </row>
    <row r="163" ht="15.75" customHeight="1">
      <c r="A163" s="61"/>
      <c r="K163" s="62"/>
      <c r="L163" s="62"/>
      <c r="M163" s="62"/>
      <c r="N163" s="62"/>
    </row>
    <row r="164" ht="15.75" customHeight="1">
      <c r="A164" s="61"/>
      <c r="K164" s="62"/>
      <c r="L164" s="62"/>
      <c r="M164" s="62"/>
      <c r="N164" s="62"/>
    </row>
    <row r="165" ht="15.75" customHeight="1">
      <c r="A165" s="61"/>
      <c r="K165" s="62"/>
      <c r="L165" s="62"/>
      <c r="M165" s="62"/>
      <c r="N165" s="62"/>
    </row>
    <row r="166" ht="15.75" customHeight="1">
      <c r="A166" s="61"/>
      <c r="K166" s="62"/>
      <c r="L166" s="62"/>
      <c r="M166" s="62"/>
      <c r="N166" s="62"/>
    </row>
    <row r="167" ht="15.75" customHeight="1">
      <c r="A167" s="61"/>
      <c r="K167" s="62"/>
      <c r="L167" s="62"/>
      <c r="M167" s="62"/>
      <c r="N167" s="62"/>
    </row>
    <row r="168" ht="15.75" customHeight="1">
      <c r="A168" s="61"/>
      <c r="K168" s="62"/>
      <c r="L168" s="62"/>
      <c r="M168" s="62"/>
      <c r="N168" s="62"/>
    </row>
    <row r="169" ht="15.75" customHeight="1">
      <c r="A169" s="61"/>
      <c r="K169" s="62"/>
      <c r="L169" s="62"/>
      <c r="M169" s="62"/>
      <c r="N169" s="62"/>
    </row>
    <row r="170" ht="15.75" customHeight="1">
      <c r="A170" s="61"/>
      <c r="K170" s="62"/>
      <c r="L170" s="62"/>
      <c r="M170" s="62"/>
      <c r="N170" s="62"/>
    </row>
    <row r="171" ht="15.75" customHeight="1">
      <c r="A171" s="61"/>
      <c r="K171" s="62"/>
      <c r="L171" s="62"/>
      <c r="M171" s="62"/>
      <c r="N171" s="62"/>
    </row>
    <row r="172" ht="15.75" customHeight="1">
      <c r="A172" s="61"/>
      <c r="K172" s="62"/>
      <c r="L172" s="62"/>
      <c r="M172" s="62"/>
      <c r="N172" s="62"/>
    </row>
    <row r="173" ht="15.75" customHeight="1">
      <c r="A173" s="61"/>
      <c r="K173" s="62"/>
      <c r="L173" s="62"/>
      <c r="M173" s="62"/>
      <c r="N173" s="62"/>
    </row>
    <row r="174" ht="15.75" customHeight="1">
      <c r="A174" s="61"/>
      <c r="K174" s="62"/>
      <c r="L174" s="62"/>
      <c r="M174" s="62"/>
      <c r="N174" s="62"/>
    </row>
    <row r="175" ht="15.75" customHeight="1">
      <c r="A175" s="61"/>
      <c r="K175" s="62"/>
      <c r="L175" s="62"/>
      <c r="M175" s="62"/>
      <c r="N175" s="62"/>
    </row>
    <row r="176" ht="15.75" customHeight="1">
      <c r="A176" s="61"/>
      <c r="K176" s="62"/>
      <c r="L176" s="62"/>
      <c r="M176" s="62"/>
      <c r="N176" s="62"/>
    </row>
    <row r="177" ht="15.75" customHeight="1">
      <c r="A177" s="61"/>
      <c r="K177" s="62"/>
      <c r="L177" s="62"/>
      <c r="M177" s="62"/>
      <c r="N177" s="62"/>
    </row>
    <row r="178" ht="15.75" customHeight="1">
      <c r="A178" s="61"/>
      <c r="K178" s="62"/>
      <c r="L178" s="62"/>
      <c r="M178" s="62"/>
      <c r="N178" s="62"/>
    </row>
    <row r="179" ht="15.75" customHeight="1">
      <c r="A179" s="61"/>
      <c r="K179" s="62"/>
      <c r="L179" s="62"/>
      <c r="M179" s="62"/>
      <c r="N179" s="62"/>
    </row>
    <row r="180" ht="15.75" customHeight="1">
      <c r="A180" s="61"/>
      <c r="K180" s="62"/>
      <c r="L180" s="62"/>
      <c r="M180" s="62"/>
      <c r="N180" s="62"/>
    </row>
    <row r="181" ht="15.75" customHeight="1">
      <c r="A181" s="61"/>
      <c r="K181" s="62"/>
      <c r="L181" s="62"/>
      <c r="M181" s="62"/>
      <c r="N181" s="62"/>
    </row>
    <row r="182" ht="15.75" customHeight="1">
      <c r="A182" s="61"/>
      <c r="K182" s="62"/>
      <c r="L182" s="62"/>
      <c r="M182" s="62"/>
      <c r="N182" s="62"/>
    </row>
    <row r="183" ht="15.75" customHeight="1">
      <c r="A183" s="61"/>
      <c r="K183" s="62"/>
      <c r="L183" s="62"/>
      <c r="M183" s="62"/>
      <c r="N183" s="62"/>
    </row>
    <row r="184" ht="15.75" customHeight="1">
      <c r="A184" s="61"/>
      <c r="K184" s="62"/>
      <c r="L184" s="62"/>
      <c r="M184" s="62"/>
      <c r="N184" s="62"/>
    </row>
    <row r="185" ht="15.75" customHeight="1">
      <c r="A185" s="61"/>
      <c r="K185" s="62"/>
      <c r="L185" s="62"/>
      <c r="M185" s="62"/>
      <c r="N185" s="62"/>
    </row>
    <row r="186" ht="15.75" customHeight="1">
      <c r="A186" s="61"/>
      <c r="K186" s="62"/>
      <c r="L186" s="62"/>
      <c r="M186" s="62"/>
      <c r="N186" s="62"/>
    </row>
    <row r="187" ht="15.75" customHeight="1">
      <c r="A187" s="61"/>
      <c r="K187" s="62"/>
      <c r="L187" s="62"/>
      <c r="M187" s="62"/>
      <c r="N187" s="62"/>
    </row>
    <row r="188" ht="15.75" customHeight="1">
      <c r="A188" s="61"/>
      <c r="K188" s="62"/>
      <c r="L188" s="62"/>
      <c r="M188" s="62"/>
      <c r="N188" s="62"/>
    </row>
    <row r="189" ht="15.75" customHeight="1">
      <c r="A189" s="61"/>
      <c r="K189" s="62"/>
      <c r="L189" s="62"/>
      <c r="M189" s="62"/>
      <c r="N189" s="62"/>
    </row>
    <row r="190" ht="15.75" customHeight="1">
      <c r="A190" s="61"/>
      <c r="K190" s="62"/>
      <c r="L190" s="62"/>
      <c r="M190" s="62"/>
      <c r="N190" s="62"/>
    </row>
    <row r="191" ht="15.75" customHeight="1">
      <c r="A191" s="61"/>
      <c r="K191" s="62"/>
      <c r="L191" s="62"/>
      <c r="M191" s="62"/>
      <c r="N191" s="62"/>
    </row>
    <row r="192" ht="15.75" customHeight="1">
      <c r="A192" s="61"/>
      <c r="K192" s="62"/>
      <c r="L192" s="62"/>
      <c r="M192" s="62"/>
      <c r="N192" s="62"/>
    </row>
    <row r="193" ht="15.75" customHeight="1">
      <c r="A193" s="61"/>
      <c r="K193" s="62"/>
      <c r="L193" s="62"/>
      <c r="M193" s="62"/>
      <c r="N193" s="62"/>
    </row>
    <row r="194" ht="15.75" customHeight="1">
      <c r="A194" s="61"/>
      <c r="K194" s="62"/>
      <c r="L194" s="62"/>
      <c r="M194" s="62"/>
      <c r="N194" s="62"/>
    </row>
    <row r="195" ht="15.75" customHeight="1">
      <c r="A195" s="61"/>
      <c r="K195" s="62"/>
      <c r="L195" s="62"/>
      <c r="M195" s="62"/>
      <c r="N195" s="62"/>
    </row>
    <row r="196" ht="15.75" customHeight="1">
      <c r="A196" s="61"/>
      <c r="K196" s="62"/>
      <c r="L196" s="62"/>
      <c r="M196" s="62"/>
      <c r="N196" s="62"/>
    </row>
    <row r="197" ht="15.75" customHeight="1">
      <c r="A197" s="61"/>
      <c r="K197" s="62"/>
      <c r="L197" s="62"/>
      <c r="M197" s="62"/>
      <c r="N197" s="62"/>
    </row>
    <row r="198" ht="15.75" customHeight="1">
      <c r="A198" s="61"/>
      <c r="K198" s="62"/>
      <c r="L198" s="62"/>
      <c r="M198" s="62"/>
      <c r="N198" s="62"/>
    </row>
    <row r="199" ht="15.75" customHeight="1">
      <c r="A199" s="61"/>
      <c r="K199" s="62"/>
      <c r="L199" s="62"/>
      <c r="M199" s="62"/>
      <c r="N199" s="62"/>
    </row>
    <row r="200" ht="15.75" customHeight="1">
      <c r="A200" s="61"/>
      <c r="K200" s="62"/>
      <c r="L200" s="62"/>
      <c r="M200" s="62"/>
      <c r="N200" s="62"/>
    </row>
    <row r="201" ht="15.75" customHeight="1">
      <c r="A201" s="61"/>
      <c r="K201" s="62"/>
      <c r="L201" s="62"/>
      <c r="M201" s="62"/>
      <c r="N201" s="62"/>
    </row>
    <row r="202" ht="15.75" customHeight="1">
      <c r="A202" s="61"/>
      <c r="K202" s="62"/>
      <c r="L202" s="62"/>
      <c r="M202" s="62"/>
      <c r="N202" s="62"/>
    </row>
    <row r="203" ht="15.75" customHeight="1">
      <c r="A203" s="61"/>
      <c r="K203" s="62"/>
      <c r="L203" s="62"/>
      <c r="M203" s="62"/>
      <c r="N203" s="62"/>
    </row>
    <row r="204" ht="15.75" customHeight="1">
      <c r="A204" s="61"/>
      <c r="K204" s="62"/>
      <c r="L204" s="62"/>
      <c r="M204" s="62"/>
      <c r="N204" s="62"/>
    </row>
    <row r="205" ht="15.75" customHeight="1">
      <c r="A205" s="61"/>
      <c r="K205" s="62"/>
      <c r="L205" s="62"/>
      <c r="M205" s="62"/>
      <c r="N205" s="62"/>
    </row>
    <row r="206" ht="15.75" customHeight="1">
      <c r="A206" s="61"/>
      <c r="K206" s="62"/>
      <c r="L206" s="62"/>
      <c r="M206" s="62"/>
      <c r="N206" s="62"/>
    </row>
    <row r="207" ht="15.75" customHeight="1">
      <c r="A207" s="61"/>
      <c r="K207" s="62"/>
      <c r="L207" s="62"/>
      <c r="M207" s="62"/>
      <c r="N207" s="62"/>
    </row>
    <row r="208" ht="15.75" customHeight="1">
      <c r="A208" s="61"/>
      <c r="K208" s="62"/>
      <c r="L208" s="62"/>
      <c r="M208" s="62"/>
      <c r="N208" s="62"/>
    </row>
    <row r="209" ht="15.75" customHeight="1">
      <c r="A209" s="61"/>
      <c r="F209" s="63"/>
      <c r="K209" s="62"/>
      <c r="L209" s="62"/>
      <c r="M209" s="62"/>
      <c r="N209" s="62"/>
    </row>
    <row r="210" ht="15.75" customHeight="1">
      <c r="A210" s="61"/>
      <c r="K210" s="62"/>
      <c r="L210" s="62"/>
      <c r="M210" s="62"/>
      <c r="N210" s="62"/>
    </row>
    <row r="211" ht="15.75" customHeight="1">
      <c r="A211" s="61"/>
      <c r="K211" s="62"/>
      <c r="L211" s="62"/>
      <c r="M211" s="62"/>
      <c r="N211" s="62"/>
    </row>
    <row r="212" ht="15.75" customHeight="1">
      <c r="A212" s="61"/>
      <c r="K212" s="62"/>
      <c r="L212" s="62"/>
      <c r="M212" s="62"/>
      <c r="N212" s="62"/>
    </row>
    <row r="213" ht="15.75" customHeight="1">
      <c r="A213" s="61"/>
      <c r="K213" s="62"/>
      <c r="L213" s="62"/>
      <c r="M213" s="62"/>
      <c r="N213" s="62"/>
    </row>
    <row r="214" ht="15.75" customHeight="1">
      <c r="A214" s="61"/>
      <c r="K214" s="62"/>
      <c r="L214" s="62"/>
      <c r="M214" s="62"/>
      <c r="N214" s="62"/>
    </row>
    <row r="215" ht="15.75" customHeight="1">
      <c r="A215" s="61"/>
      <c r="K215" s="62"/>
      <c r="L215" s="62"/>
      <c r="M215" s="62"/>
      <c r="N215" s="62"/>
    </row>
    <row r="216" ht="15.75" customHeight="1">
      <c r="A216" s="61"/>
      <c r="K216" s="62"/>
      <c r="L216" s="62"/>
      <c r="M216" s="62"/>
      <c r="N216" s="62"/>
    </row>
    <row r="217" ht="15.75" customHeight="1">
      <c r="A217" s="61"/>
      <c r="K217" s="62"/>
      <c r="L217" s="62"/>
      <c r="M217" s="62"/>
      <c r="N217" s="62"/>
    </row>
    <row r="218" ht="15.75" customHeight="1">
      <c r="A218" s="61"/>
      <c r="K218" s="62"/>
      <c r="L218" s="62"/>
      <c r="M218" s="62"/>
      <c r="N218" s="62"/>
    </row>
    <row r="219" ht="15.75" customHeight="1">
      <c r="A219" s="61"/>
      <c r="K219" s="62"/>
      <c r="L219" s="62"/>
      <c r="M219" s="62"/>
      <c r="N219" s="62"/>
    </row>
    <row r="220" ht="15.75" customHeight="1">
      <c r="A220" s="61"/>
      <c r="K220" s="62"/>
      <c r="L220" s="62"/>
      <c r="M220" s="62"/>
      <c r="N220" s="62"/>
    </row>
    <row r="221" ht="15.75" customHeight="1">
      <c r="A221" s="61"/>
      <c r="K221" s="62"/>
      <c r="L221" s="62"/>
      <c r="M221" s="62"/>
      <c r="N221" s="62"/>
    </row>
    <row r="222" ht="15.75" customHeight="1">
      <c r="A222" s="61"/>
      <c r="K222" s="62"/>
      <c r="L222" s="62"/>
      <c r="M222" s="62"/>
      <c r="N222" s="62"/>
    </row>
    <row r="223" ht="15.75" customHeight="1">
      <c r="A223" s="61"/>
      <c r="K223" s="62"/>
      <c r="L223" s="62"/>
      <c r="M223" s="62"/>
      <c r="N223" s="62"/>
    </row>
    <row r="224" ht="15.75" customHeight="1">
      <c r="A224" s="61"/>
      <c r="K224" s="62"/>
      <c r="L224" s="62"/>
      <c r="M224" s="62"/>
      <c r="N224" s="62"/>
    </row>
    <row r="225" ht="15.75" customHeight="1">
      <c r="A225" s="61"/>
      <c r="K225" s="62"/>
      <c r="L225" s="62"/>
      <c r="M225" s="62"/>
      <c r="N225" s="62"/>
    </row>
    <row r="226" ht="15.75" customHeight="1">
      <c r="A226" s="61"/>
      <c r="K226" s="62"/>
      <c r="L226" s="62"/>
      <c r="M226" s="62"/>
      <c r="N226" s="62"/>
    </row>
    <row r="227" ht="15.75" customHeight="1">
      <c r="A227" s="61"/>
      <c r="K227" s="62"/>
      <c r="L227" s="62"/>
      <c r="M227" s="62"/>
      <c r="N227" s="62"/>
    </row>
    <row r="228" ht="15.75" customHeight="1">
      <c r="A228" s="61"/>
      <c r="K228" s="62"/>
      <c r="L228" s="62"/>
      <c r="M228" s="62"/>
      <c r="N228" s="62"/>
    </row>
    <row r="229" ht="15.75" customHeight="1">
      <c r="A229" s="61"/>
      <c r="K229" s="62"/>
      <c r="L229" s="62"/>
      <c r="M229" s="62"/>
      <c r="N229" s="62"/>
    </row>
    <row r="230" ht="15.75" customHeight="1">
      <c r="A230" s="61"/>
      <c r="K230" s="62"/>
      <c r="L230" s="62"/>
      <c r="M230" s="62"/>
      <c r="N230" s="62"/>
    </row>
    <row r="231" ht="15.75" customHeight="1">
      <c r="A231" s="61"/>
      <c r="K231" s="62"/>
      <c r="L231" s="62"/>
      <c r="M231" s="62"/>
      <c r="N231" s="62"/>
    </row>
    <row r="232" ht="15.75" customHeight="1">
      <c r="A232" s="61"/>
      <c r="K232" s="62"/>
      <c r="L232" s="62"/>
      <c r="M232" s="62"/>
      <c r="N232" s="62"/>
    </row>
    <row r="233" ht="15.75" customHeight="1">
      <c r="A233" s="61"/>
      <c r="K233" s="62"/>
      <c r="L233" s="62"/>
      <c r="M233" s="62"/>
      <c r="N233" s="62"/>
    </row>
    <row r="234" ht="15.75" customHeight="1">
      <c r="A234" s="61"/>
      <c r="K234" s="62"/>
      <c r="L234" s="62"/>
      <c r="M234" s="62"/>
      <c r="N234" s="62"/>
    </row>
    <row r="235" ht="15.75" customHeight="1">
      <c r="A235" s="61"/>
      <c r="K235" s="62"/>
      <c r="L235" s="62"/>
      <c r="M235" s="62"/>
      <c r="N235" s="62"/>
    </row>
    <row r="236" ht="15.75" customHeight="1">
      <c r="A236" s="61"/>
      <c r="K236" s="62"/>
      <c r="L236" s="62"/>
      <c r="M236" s="62"/>
      <c r="N236" s="62"/>
    </row>
    <row r="237" ht="15.75" customHeight="1">
      <c r="A237" s="61"/>
      <c r="K237" s="62"/>
      <c r="L237" s="62"/>
      <c r="M237" s="62"/>
      <c r="N237" s="62"/>
    </row>
    <row r="238" ht="15.75" customHeight="1">
      <c r="A238" s="61"/>
      <c r="K238" s="62"/>
      <c r="L238" s="62"/>
      <c r="M238" s="62"/>
      <c r="N238" s="62"/>
    </row>
    <row r="239" ht="15.75" customHeight="1">
      <c r="A239" s="61"/>
      <c r="K239" s="62"/>
      <c r="L239" s="62"/>
      <c r="M239" s="62"/>
      <c r="N239" s="62"/>
    </row>
    <row r="240" ht="15.75" customHeight="1">
      <c r="A240" s="61"/>
      <c r="K240" s="62"/>
      <c r="L240" s="62"/>
      <c r="M240" s="62"/>
      <c r="N240" s="62"/>
    </row>
    <row r="241" ht="15.75" customHeight="1">
      <c r="A241" s="61"/>
      <c r="K241" s="62"/>
      <c r="L241" s="62"/>
      <c r="M241" s="62"/>
      <c r="N241" s="62"/>
    </row>
    <row r="242" ht="15.75" customHeight="1">
      <c r="A242" s="61"/>
      <c r="K242" s="62"/>
      <c r="L242" s="62"/>
      <c r="M242" s="62"/>
      <c r="N242" s="62"/>
    </row>
    <row r="243" ht="15.75" customHeight="1">
      <c r="A243" s="61"/>
      <c r="K243" s="62"/>
      <c r="L243" s="62"/>
      <c r="M243" s="62"/>
      <c r="N243" s="62"/>
    </row>
    <row r="244" ht="15.75" customHeight="1">
      <c r="A244" s="61"/>
      <c r="K244" s="62"/>
      <c r="L244" s="62"/>
      <c r="M244" s="62"/>
      <c r="N244" s="62"/>
    </row>
    <row r="245" ht="15.75" customHeight="1">
      <c r="A245" s="61"/>
      <c r="K245" s="62"/>
      <c r="L245" s="62"/>
      <c r="M245" s="62"/>
      <c r="N245" s="62"/>
    </row>
    <row r="246" ht="15.75" customHeight="1">
      <c r="A246" s="61"/>
      <c r="K246" s="62"/>
      <c r="L246" s="62"/>
      <c r="M246" s="62"/>
      <c r="N246" s="62"/>
    </row>
    <row r="247" ht="15.75" customHeight="1">
      <c r="A247" s="61"/>
      <c r="K247" s="62"/>
      <c r="L247" s="62"/>
      <c r="M247" s="62"/>
      <c r="N247" s="62"/>
    </row>
    <row r="248" ht="15.75" customHeight="1">
      <c r="A248" s="61"/>
      <c r="K248" s="62"/>
      <c r="L248" s="62"/>
      <c r="M248" s="62"/>
      <c r="N248" s="62"/>
    </row>
    <row r="249" ht="15.75" customHeight="1">
      <c r="A249" s="61"/>
      <c r="K249" s="62"/>
      <c r="L249" s="62"/>
      <c r="M249" s="62"/>
      <c r="N249" s="62"/>
    </row>
    <row r="250" ht="15.75" customHeight="1">
      <c r="A250" s="61"/>
      <c r="K250" s="62"/>
      <c r="L250" s="62"/>
      <c r="M250" s="62"/>
      <c r="N250" s="62"/>
    </row>
    <row r="251" ht="15.75" customHeight="1">
      <c r="A251" s="61"/>
      <c r="K251" s="62"/>
      <c r="L251" s="62"/>
      <c r="M251" s="62"/>
      <c r="N251" s="62"/>
    </row>
    <row r="252" ht="15.75" customHeight="1">
      <c r="A252" s="61"/>
      <c r="K252" s="62"/>
      <c r="L252" s="62"/>
      <c r="M252" s="62"/>
      <c r="N252" s="62"/>
    </row>
    <row r="253" ht="15.75" customHeight="1">
      <c r="A253" s="61"/>
      <c r="K253" s="62"/>
      <c r="L253" s="62"/>
      <c r="M253" s="62"/>
      <c r="N253" s="62"/>
    </row>
    <row r="254" ht="15.75" customHeight="1">
      <c r="A254" s="61"/>
      <c r="K254" s="62"/>
      <c r="L254" s="62"/>
      <c r="M254" s="62"/>
      <c r="N254" s="62"/>
    </row>
    <row r="255" ht="15.75" customHeight="1">
      <c r="A255" s="61"/>
      <c r="K255" s="62"/>
      <c r="L255" s="62"/>
      <c r="M255" s="62"/>
      <c r="N255" s="62"/>
    </row>
    <row r="256" ht="15.75" customHeight="1">
      <c r="A256" s="61"/>
      <c r="K256" s="62"/>
      <c r="L256" s="62"/>
      <c r="M256" s="62"/>
      <c r="N256" s="62"/>
    </row>
    <row r="257" ht="15.75" customHeight="1">
      <c r="A257" s="61"/>
      <c r="K257" s="62"/>
      <c r="L257" s="62"/>
      <c r="M257" s="62"/>
      <c r="N257" s="62"/>
    </row>
    <row r="258" ht="15.75" customHeight="1">
      <c r="A258" s="61"/>
      <c r="K258" s="62"/>
      <c r="L258" s="62"/>
      <c r="M258" s="62"/>
      <c r="N258" s="62"/>
    </row>
    <row r="259" ht="15.75" customHeight="1">
      <c r="A259" s="61"/>
      <c r="K259" s="62"/>
      <c r="L259" s="62"/>
      <c r="M259" s="62"/>
      <c r="N259" s="62"/>
    </row>
    <row r="260" ht="15.75" customHeight="1">
      <c r="A260" s="61"/>
      <c r="K260" s="62"/>
      <c r="L260" s="62"/>
      <c r="M260" s="62"/>
      <c r="N260" s="62"/>
    </row>
    <row r="261" ht="15.75" customHeight="1">
      <c r="A261" s="61"/>
      <c r="K261" s="62"/>
      <c r="L261" s="62"/>
      <c r="M261" s="62"/>
      <c r="N261" s="62"/>
    </row>
    <row r="262" ht="15.75" customHeight="1">
      <c r="A262" s="61"/>
      <c r="K262" s="62"/>
      <c r="L262" s="62"/>
      <c r="M262" s="62"/>
      <c r="N262" s="62"/>
    </row>
    <row r="263" ht="15.75" customHeight="1">
      <c r="A263" s="61"/>
      <c r="K263" s="62"/>
      <c r="L263" s="62"/>
      <c r="M263" s="62"/>
      <c r="N263" s="62"/>
    </row>
    <row r="264" ht="15.75" customHeight="1">
      <c r="A264" s="61"/>
      <c r="K264" s="62"/>
      <c r="L264" s="62"/>
      <c r="M264" s="62"/>
      <c r="N264" s="62"/>
    </row>
    <row r="265" ht="15.75" customHeight="1">
      <c r="A265" s="61"/>
      <c r="K265" s="62"/>
      <c r="L265" s="62"/>
      <c r="M265" s="62"/>
      <c r="N265" s="62"/>
    </row>
    <row r="266" ht="15.75" customHeight="1">
      <c r="A266" s="61"/>
      <c r="K266" s="62"/>
      <c r="L266" s="62"/>
      <c r="M266" s="62"/>
      <c r="N266" s="62"/>
    </row>
    <row r="267" ht="15.75" customHeight="1">
      <c r="A267" s="61"/>
      <c r="K267" s="62"/>
      <c r="L267" s="62"/>
      <c r="M267" s="62"/>
      <c r="N267" s="62"/>
    </row>
    <row r="268" ht="15.75" customHeight="1">
      <c r="A268" s="61"/>
      <c r="K268" s="62"/>
      <c r="L268" s="62"/>
      <c r="M268" s="62"/>
      <c r="N268" s="62"/>
    </row>
    <row r="269" ht="15.75" customHeight="1">
      <c r="A269" s="61"/>
      <c r="K269" s="62"/>
      <c r="L269" s="62"/>
      <c r="M269" s="62"/>
      <c r="N269" s="62"/>
    </row>
    <row r="270" ht="15.75" customHeight="1">
      <c r="A270" s="61"/>
      <c r="K270" s="62"/>
      <c r="L270" s="62"/>
      <c r="M270" s="62"/>
      <c r="N270" s="62"/>
    </row>
    <row r="271" ht="15.75" customHeight="1">
      <c r="A271" s="61"/>
      <c r="K271" s="62"/>
      <c r="L271" s="62"/>
      <c r="M271" s="62"/>
      <c r="N271" s="62"/>
    </row>
    <row r="272" ht="15.75" customHeight="1">
      <c r="A272" s="61"/>
      <c r="K272" s="62"/>
      <c r="L272" s="62"/>
      <c r="M272" s="62"/>
      <c r="N272" s="62"/>
    </row>
    <row r="273" ht="15.75" customHeight="1">
      <c r="A273" s="61"/>
      <c r="K273" s="62"/>
      <c r="L273" s="62"/>
      <c r="M273" s="62"/>
      <c r="N273" s="62"/>
    </row>
    <row r="274" ht="15.75" customHeight="1">
      <c r="A274" s="61"/>
      <c r="K274" s="62"/>
      <c r="L274" s="62"/>
      <c r="M274" s="62"/>
      <c r="N274" s="62"/>
    </row>
    <row r="275" ht="15.75" customHeight="1">
      <c r="A275" s="61"/>
      <c r="K275" s="62"/>
      <c r="L275" s="62"/>
      <c r="M275" s="62"/>
      <c r="N275" s="62"/>
    </row>
    <row r="276" ht="15.75" customHeight="1">
      <c r="A276" s="61"/>
      <c r="K276" s="62"/>
      <c r="L276" s="62"/>
      <c r="M276" s="62"/>
      <c r="N276" s="62"/>
    </row>
    <row r="277" ht="15.75" customHeight="1">
      <c r="A277" s="61"/>
      <c r="K277" s="62"/>
      <c r="L277" s="62"/>
      <c r="M277" s="62"/>
      <c r="N277" s="62"/>
    </row>
    <row r="278" ht="15.75" customHeight="1">
      <c r="A278" s="61"/>
      <c r="K278" s="62"/>
      <c r="L278" s="62"/>
      <c r="M278" s="62"/>
      <c r="N278" s="62"/>
    </row>
    <row r="279" ht="15.75" customHeight="1">
      <c r="A279" s="61"/>
      <c r="K279" s="62"/>
      <c r="L279" s="62"/>
      <c r="M279" s="62"/>
      <c r="N279" s="62"/>
    </row>
    <row r="280" ht="15.75" customHeight="1">
      <c r="A280" s="61"/>
      <c r="K280" s="62"/>
      <c r="L280" s="62"/>
      <c r="M280" s="62"/>
      <c r="N280" s="62"/>
    </row>
    <row r="281" ht="15.75" customHeight="1">
      <c r="A281" s="61"/>
      <c r="K281" s="62"/>
      <c r="L281" s="62"/>
      <c r="M281" s="62"/>
      <c r="N281" s="62"/>
    </row>
    <row r="282" ht="15.75" customHeight="1">
      <c r="A282" s="61"/>
      <c r="K282" s="62"/>
      <c r="L282" s="62"/>
      <c r="M282" s="62"/>
      <c r="N282" s="62"/>
    </row>
    <row r="283" ht="15.75" customHeight="1">
      <c r="A283" s="61"/>
      <c r="K283" s="62"/>
      <c r="L283" s="62"/>
      <c r="M283" s="62"/>
      <c r="N283" s="62"/>
    </row>
    <row r="284" ht="15.75" customHeight="1">
      <c r="A284" s="61"/>
      <c r="K284" s="62"/>
      <c r="L284" s="62"/>
      <c r="M284" s="62"/>
      <c r="N284" s="62"/>
    </row>
    <row r="285" ht="15.75" customHeight="1">
      <c r="A285" s="61"/>
      <c r="K285" s="62"/>
      <c r="L285" s="62"/>
      <c r="M285" s="62"/>
      <c r="N285" s="62"/>
    </row>
    <row r="286" ht="15.75" customHeight="1">
      <c r="A286" s="61"/>
      <c r="K286" s="62"/>
      <c r="L286" s="62"/>
      <c r="M286" s="62"/>
      <c r="N286" s="62"/>
    </row>
    <row r="287" ht="15.75" customHeight="1">
      <c r="A287" s="61"/>
      <c r="K287" s="62"/>
      <c r="L287" s="62"/>
      <c r="M287" s="62"/>
      <c r="N287" s="62"/>
    </row>
    <row r="288" ht="15.75" customHeight="1">
      <c r="A288" s="61"/>
      <c r="K288" s="62"/>
      <c r="L288" s="62"/>
      <c r="M288" s="62"/>
      <c r="N288" s="62"/>
    </row>
    <row r="289" ht="15.75" customHeight="1">
      <c r="A289" s="61"/>
      <c r="K289" s="62"/>
      <c r="L289" s="62"/>
      <c r="M289" s="62"/>
      <c r="N289" s="62"/>
    </row>
    <row r="290" ht="15.75" customHeight="1">
      <c r="A290" s="61"/>
      <c r="K290" s="62"/>
      <c r="L290" s="62"/>
      <c r="M290" s="62"/>
      <c r="N290" s="62"/>
    </row>
    <row r="291" ht="15.75" customHeight="1">
      <c r="A291" s="61"/>
      <c r="K291" s="62"/>
      <c r="L291" s="62"/>
      <c r="M291" s="62"/>
      <c r="N291" s="62"/>
    </row>
    <row r="292" ht="15.75" customHeight="1">
      <c r="A292" s="61"/>
      <c r="K292" s="62"/>
      <c r="L292" s="62"/>
      <c r="M292" s="62"/>
      <c r="N292" s="62"/>
    </row>
    <row r="293" ht="15.75" customHeight="1">
      <c r="A293" s="61"/>
      <c r="K293" s="62"/>
      <c r="L293" s="62"/>
      <c r="M293" s="62"/>
      <c r="N293" s="62"/>
    </row>
    <row r="294" ht="15.75" customHeight="1">
      <c r="A294" s="61"/>
      <c r="K294" s="62"/>
      <c r="L294" s="62"/>
      <c r="M294" s="62"/>
      <c r="N294" s="62"/>
    </row>
    <row r="295" ht="15.75" customHeight="1">
      <c r="A295" s="61"/>
      <c r="K295" s="62"/>
      <c r="L295" s="62"/>
      <c r="M295" s="62"/>
      <c r="N295" s="62"/>
    </row>
    <row r="296" ht="15.75" customHeight="1">
      <c r="A296" s="61"/>
      <c r="K296" s="62"/>
      <c r="L296" s="62"/>
      <c r="M296" s="62"/>
      <c r="N296" s="62"/>
    </row>
    <row r="297" ht="15.75" customHeight="1">
      <c r="A297" s="61"/>
      <c r="K297" s="62"/>
      <c r="L297" s="62"/>
      <c r="M297" s="62"/>
      <c r="N297" s="62"/>
    </row>
    <row r="298" ht="15.75" customHeight="1">
      <c r="A298" s="61"/>
      <c r="K298" s="62"/>
      <c r="L298" s="62"/>
      <c r="M298" s="62"/>
      <c r="N298" s="62"/>
    </row>
    <row r="299" ht="15.75" customHeight="1">
      <c r="A299" s="61"/>
      <c r="K299" s="62"/>
      <c r="L299" s="62"/>
      <c r="M299" s="62"/>
      <c r="N299" s="62"/>
    </row>
    <row r="300" ht="15.75" customHeight="1">
      <c r="A300" s="61"/>
      <c r="K300" s="62"/>
      <c r="L300" s="62"/>
      <c r="M300" s="62"/>
      <c r="N300" s="62"/>
    </row>
    <row r="301" ht="15.75" customHeight="1">
      <c r="A301" s="61"/>
      <c r="K301" s="62"/>
      <c r="L301" s="62"/>
      <c r="M301" s="62"/>
      <c r="N301" s="62"/>
    </row>
    <row r="302" ht="15.75" customHeight="1">
      <c r="A302" s="61"/>
      <c r="K302" s="62"/>
      <c r="L302" s="62"/>
      <c r="M302" s="62"/>
      <c r="N302" s="62"/>
    </row>
    <row r="303" ht="15.75" customHeight="1">
      <c r="A303" s="61"/>
      <c r="K303" s="62"/>
      <c r="L303" s="62"/>
      <c r="M303" s="62"/>
      <c r="N303" s="62"/>
    </row>
    <row r="304" ht="15.75" customHeight="1">
      <c r="A304" s="61"/>
      <c r="K304" s="62"/>
      <c r="L304" s="62"/>
      <c r="M304" s="62"/>
      <c r="N304" s="62"/>
    </row>
    <row r="305" ht="15.75" customHeight="1">
      <c r="A305" s="61"/>
      <c r="K305" s="62"/>
      <c r="L305" s="62"/>
      <c r="M305" s="62"/>
      <c r="N305" s="62"/>
    </row>
    <row r="306" ht="15.75" customHeight="1">
      <c r="A306" s="61"/>
      <c r="K306" s="62"/>
      <c r="L306" s="62"/>
      <c r="M306" s="62"/>
      <c r="N306" s="62"/>
    </row>
    <row r="307" ht="15.75" customHeight="1">
      <c r="A307" s="61"/>
      <c r="K307" s="62"/>
      <c r="L307" s="62"/>
      <c r="M307" s="62"/>
      <c r="N307" s="62"/>
    </row>
    <row r="308" ht="15.75" customHeight="1">
      <c r="A308" s="61"/>
      <c r="K308" s="62"/>
      <c r="L308" s="62"/>
      <c r="M308" s="62"/>
      <c r="N308" s="62"/>
    </row>
    <row r="309" ht="15.75" customHeight="1">
      <c r="A309" s="61"/>
      <c r="K309" s="62"/>
      <c r="L309" s="62"/>
      <c r="M309" s="62"/>
      <c r="N309" s="62"/>
    </row>
    <row r="310" ht="15.75" customHeight="1">
      <c r="A310" s="61"/>
      <c r="K310" s="62"/>
      <c r="L310" s="62"/>
      <c r="M310" s="62"/>
      <c r="N310" s="62"/>
    </row>
    <row r="311" ht="15.75" customHeight="1">
      <c r="A311" s="61"/>
      <c r="K311" s="62"/>
      <c r="L311" s="62"/>
      <c r="M311" s="62"/>
      <c r="N311" s="62"/>
    </row>
    <row r="312" ht="15.75" customHeight="1">
      <c r="A312" s="61"/>
      <c r="K312" s="62"/>
      <c r="L312" s="62"/>
      <c r="M312" s="62"/>
      <c r="N312" s="62"/>
    </row>
    <row r="313" ht="15.75" customHeight="1">
      <c r="A313" s="61"/>
      <c r="K313" s="62"/>
      <c r="L313" s="62"/>
      <c r="M313" s="62"/>
      <c r="N313" s="62"/>
    </row>
    <row r="314" ht="15.75" customHeight="1">
      <c r="A314" s="61"/>
      <c r="K314" s="62"/>
      <c r="L314" s="62"/>
      <c r="M314" s="62"/>
      <c r="N314" s="62"/>
    </row>
    <row r="315" ht="15.75" customHeight="1">
      <c r="A315" s="61"/>
      <c r="K315" s="62"/>
      <c r="L315" s="62"/>
      <c r="M315" s="62"/>
      <c r="N315" s="62"/>
    </row>
    <row r="316" ht="15.75" customHeight="1">
      <c r="A316" s="61"/>
      <c r="K316" s="62"/>
      <c r="L316" s="62"/>
      <c r="M316" s="62"/>
      <c r="N316" s="62"/>
    </row>
    <row r="317" ht="15.75" customHeight="1">
      <c r="A317" s="61"/>
      <c r="K317" s="62"/>
      <c r="L317" s="62"/>
      <c r="M317" s="62"/>
      <c r="N317" s="62"/>
    </row>
    <row r="318" ht="15.75" customHeight="1">
      <c r="A318" s="61"/>
      <c r="K318" s="62"/>
      <c r="L318" s="62"/>
      <c r="M318" s="62"/>
      <c r="N318" s="62"/>
    </row>
    <row r="319" ht="15.75" customHeight="1">
      <c r="A319" s="61"/>
      <c r="K319" s="62"/>
      <c r="L319" s="62"/>
      <c r="M319" s="62"/>
      <c r="N319" s="62"/>
    </row>
    <row r="320" ht="15.75" customHeight="1">
      <c r="A320" s="61"/>
      <c r="K320" s="62"/>
      <c r="L320" s="62"/>
      <c r="M320" s="62"/>
      <c r="N320" s="62"/>
    </row>
    <row r="321" ht="15.75" customHeight="1">
      <c r="A321" s="61"/>
      <c r="K321" s="62"/>
      <c r="L321" s="62"/>
      <c r="M321" s="62"/>
      <c r="N321" s="62"/>
    </row>
    <row r="322" ht="15.75" customHeight="1">
      <c r="A322" s="61"/>
      <c r="K322" s="62"/>
      <c r="L322" s="62"/>
      <c r="M322" s="62"/>
      <c r="N322" s="62"/>
    </row>
    <row r="323" ht="15.75" customHeight="1">
      <c r="A323" s="61"/>
      <c r="K323" s="62"/>
      <c r="L323" s="62"/>
      <c r="M323" s="62"/>
      <c r="N323" s="62"/>
    </row>
    <row r="324" ht="15.75" customHeight="1">
      <c r="A324" s="61"/>
      <c r="K324" s="62"/>
      <c r="L324" s="62"/>
      <c r="M324" s="62"/>
      <c r="N324" s="62"/>
    </row>
    <row r="325" ht="15.75" customHeight="1">
      <c r="A325" s="61"/>
      <c r="K325" s="62"/>
      <c r="L325" s="62"/>
      <c r="M325" s="62"/>
      <c r="N325" s="62"/>
    </row>
    <row r="326" ht="15.75" customHeight="1">
      <c r="A326" s="61"/>
      <c r="K326" s="62"/>
      <c r="L326" s="62"/>
      <c r="M326" s="62"/>
      <c r="N326" s="62"/>
    </row>
    <row r="327" ht="15.75" customHeight="1">
      <c r="A327" s="61"/>
      <c r="K327" s="62"/>
      <c r="L327" s="62"/>
      <c r="M327" s="62"/>
      <c r="N327" s="62"/>
    </row>
    <row r="328" ht="15.75" customHeight="1">
      <c r="A328" s="61"/>
      <c r="K328" s="62"/>
      <c r="L328" s="62"/>
      <c r="M328" s="62"/>
      <c r="N328" s="62"/>
    </row>
    <row r="329" ht="15.75" customHeight="1">
      <c r="A329" s="61"/>
      <c r="K329" s="62"/>
      <c r="L329" s="62"/>
      <c r="M329" s="62"/>
      <c r="N329" s="62"/>
    </row>
    <row r="330" ht="15.75" customHeight="1">
      <c r="A330" s="61"/>
      <c r="K330" s="62"/>
      <c r="L330" s="62"/>
      <c r="M330" s="62"/>
      <c r="N330" s="62"/>
    </row>
    <row r="331" ht="15.75" customHeight="1">
      <c r="A331" s="61"/>
      <c r="K331" s="62"/>
      <c r="L331" s="62"/>
      <c r="M331" s="62"/>
      <c r="N331" s="62"/>
    </row>
    <row r="332" ht="15.75" customHeight="1">
      <c r="A332" s="61"/>
      <c r="K332" s="62"/>
      <c r="L332" s="62"/>
      <c r="M332" s="62"/>
      <c r="N332" s="62"/>
    </row>
    <row r="333" ht="15.75" customHeight="1">
      <c r="A333" s="61"/>
      <c r="K333" s="62"/>
      <c r="L333" s="62"/>
      <c r="M333" s="62"/>
      <c r="N333" s="62"/>
    </row>
    <row r="334" ht="15.75" customHeight="1">
      <c r="A334" s="61"/>
      <c r="K334" s="62"/>
      <c r="L334" s="62"/>
      <c r="M334" s="62"/>
      <c r="N334" s="62"/>
    </row>
    <row r="335" ht="15.75" customHeight="1">
      <c r="A335" s="61"/>
      <c r="K335" s="62"/>
      <c r="L335" s="62"/>
      <c r="M335" s="62"/>
      <c r="N335" s="62"/>
    </row>
    <row r="336" ht="15.75" customHeight="1">
      <c r="A336" s="61"/>
      <c r="K336" s="62"/>
      <c r="L336" s="62"/>
      <c r="M336" s="62"/>
      <c r="N336" s="62"/>
    </row>
    <row r="337" ht="15.75" customHeight="1">
      <c r="A337" s="61"/>
      <c r="K337" s="62"/>
      <c r="L337" s="62"/>
      <c r="M337" s="62"/>
      <c r="N337" s="62"/>
    </row>
    <row r="338" ht="15.75" customHeight="1">
      <c r="A338" s="61"/>
      <c r="K338" s="62"/>
      <c r="L338" s="62"/>
      <c r="M338" s="62"/>
      <c r="N338" s="62"/>
    </row>
    <row r="339" ht="15.75" customHeight="1">
      <c r="A339" s="61"/>
      <c r="K339" s="62"/>
      <c r="L339" s="62"/>
      <c r="M339" s="62"/>
      <c r="N339" s="62"/>
    </row>
    <row r="340" ht="15.75" customHeight="1">
      <c r="A340" s="61"/>
      <c r="K340" s="62"/>
      <c r="L340" s="62"/>
      <c r="M340" s="62"/>
      <c r="N340" s="62"/>
    </row>
    <row r="341" ht="15.75" customHeight="1">
      <c r="A341" s="61"/>
      <c r="K341" s="62"/>
      <c r="L341" s="62"/>
      <c r="M341" s="62"/>
      <c r="N341" s="62"/>
    </row>
    <row r="342" ht="15.75" customHeight="1">
      <c r="A342" s="61"/>
      <c r="K342" s="62"/>
      <c r="L342" s="62"/>
      <c r="M342" s="62"/>
      <c r="N342" s="62"/>
    </row>
    <row r="343" ht="15.75" customHeight="1">
      <c r="A343" s="61"/>
      <c r="K343" s="62"/>
      <c r="L343" s="62"/>
      <c r="M343" s="62"/>
      <c r="N343" s="62"/>
    </row>
    <row r="344" ht="15.75" customHeight="1">
      <c r="A344" s="61"/>
      <c r="K344" s="62"/>
      <c r="L344" s="62"/>
      <c r="M344" s="62"/>
      <c r="N344" s="62"/>
    </row>
    <row r="345" ht="15.75" customHeight="1">
      <c r="A345" s="61"/>
      <c r="K345" s="62"/>
      <c r="L345" s="62"/>
      <c r="M345" s="62"/>
      <c r="N345" s="62"/>
    </row>
    <row r="346" ht="15.75" customHeight="1">
      <c r="A346" s="61"/>
      <c r="K346" s="62"/>
      <c r="L346" s="62"/>
      <c r="M346" s="62"/>
      <c r="N346" s="62"/>
    </row>
    <row r="347" ht="15.75" customHeight="1">
      <c r="A347" s="61"/>
      <c r="K347" s="62"/>
      <c r="L347" s="62"/>
      <c r="M347" s="62"/>
      <c r="N347" s="62"/>
    </row>
    <row r="348" ht="15.75" customHeight="1">
      <c r="A348" s="61"/>
      <c r="K348" s="62"/>
      <c r="L348" s="62"/>
      <c r="M348" s="62"/>
      <c r="N348" s="62"/>
    </row>
    <row r="349" ht="15.75" customHeight="1">
      <c r="A349" s="61"/>
      <c r="K349" s="62"/>
      <c r="L349" s="62"/>
      <c r="M349" s="62"/>
      <c r="N349" s="62"/>
    </row>
    <row r="350" ht="15.75" customHeight="1">
      <c r="A350" s="61"/>
      <c r="K350" s="62"/>
      <c r="L350" s="62"/>
      <c r="M350" s="62"/>
      <c r="N350" s="62"/>
    </row>
    <row r="351" ht="15.75" customHeight="1">
      <c r="A351" s="61"/>
      <c r="K351" s="62"/>
      <c r="L351" s="62"/>
      <c r="M351" s="62"/>
      <c r="N351" s="62"/>
    </row>
    <row r="352" ht="15.75" customHeight="1">
      <c r="A352" s="61"/>
      <c r="K352" s="62"/>
      <c r="L352" s="62"/>
      <c r="M352" s="62"/>
      <c r="N352" s="62"/>
    </row>
    <row r="353" ht="15.75" customHeight="1">
      <c r="A353" s="61"/>
      <c r="K353" s="62"/>
      <c r="L353" s="62"/>
      <c r="M353" s="62"/>
      <c r="N353" s="62"/>
    </row>
    <row r="354" ht="15.75" customHeight="1">
      <c r="A354" s="61"/>
      <c r="K354" s="62"/>
      <c r="L354" s="62"/>
      <c r="M354" s="62"/>
      <c r="N354" s="62"/>
    </row>
    <row r="355" ht="15.75" customHeight="1">
      <c r="A355" s="61"/>
      <c r="K355" s="62"/>
      <c r="L355" s="62"/>
      <c r="M355" s="62"/>
      <c r="N355" s="62"/>
    </row>
    <row r="356" ht="15.75" customHeight="1">
      <c r="A356" s="61"/>
      <c r="K356" s="62"/>
      <c r="L356" s="62"/>
      <c r="M356" s="62"/>
      <c r="N356" s="62"/>
    </row>
    <row r="357" ht="15.75" customHeight="1">
      <c r="A357" s="61"/>
      <c r="K357" s="62"/>
      <c r="L357" s="62"/>
      <c r="M357" s="62"/>
      <c r="N357" s="62"/>
    </row>
    <row r="358" ht="15.75" customHeight="1">
      <c r="A358" s="61"/>
      <c r="K358" s="62"/>
      <c r="L358" s="62"/>
      <c r="M358" s="62"/>
      <c r="N358" s="62"/>
    </row>
    <row r="359" ht="15.75" customHeight="1">
      <c r="A359" s="61"/>
      <c r="K359" s="62"/>
      <c r="L359" s="62"/>
      <c r="M359" s="62"/>
      <c r="N359" s="62"/>
    </row>
    <row r="360" ht="15.75" customHeight="1">
      <c r="A360" s="61"/>
      <c r="K360" s="62"/>
      <c r="L360" s="62"/>
      <c r="M360" s="62"/>
      <c r="N360" s="62"/>
    </row>
    <row r="361" ht="15.75" customHeight="1">
      <c r="A361" s="61"/>
      <c r="K361" s="62"/>
      <c r="L361" s="62"/>
      <c r="M361" s="62"/>
      <c r="N361" s="62"/>
    </row>
    <row r="362" ht="15.75" customHeight="1">
      <c r="A362" s="61"/>
      <c r="K362" s="62"/>
      <c r="L362" s="62"/>
      <c r="M362" s="62"/>
      <c r="N362" s="62"/>
    </row>
    <row r="363" ht="15.75" customHeight="1">
      <c r="A363" s="61"/>
      <c r="K363" s="62"/>
      <c r="L363" s="62"/>
      <c r="M363" s="62"/>
      <c r="N363" s="62"/>
    </row>
    <row r="364" ht="15.75" customHeight="1">
      <c r="A364" s="61"/>
      <c r="K364" s="62"/>
      <c r="L364" s="62"/>
      <c r="M364" s="62"/>
      <c r="N364" s="62"/>
    </row>
    <row r="365" ht="15.75" customHeight="1">
      <c r="A365" s="61"/>
      <c r="K365" s="62"/>
      <c r="L365" s="62"/>
      <c r="M365" s="62"/>
      <c r="N365" s="62"/>
    </row>
    <row r="366" ht="15.75" customHeight="1">
      <c r="A366" s="61"/>
      <c r="K366" s="62"/>
      <c r="L366" s="62"/>
      <c r="M366" s="62"/>
      <c r="N366" s="62"/>
    </row>
    <row r="367" ht="15.75" customHeight="1">
      <c r="A367" s="61"/>
      <c r="K367" s="62"/>
      <c r="L367" s="62"/>
      <c r="M367" s="62"/>
      <c r="N367" s="62"/>
    </row>
    <row r="368" ht="15.75" customHeight="1">
      <c r="A368" s="61"/>
      <c r="K368" s="62"/>
      <c r="L368" s="62"/>
      <c r="M368" s="62"/>
      <c r="N368" s="62"/>
    </row>
    <row r="369" ht="15.75" customHeight="1">
      <c r="A369" s="61"/>
      <c r="K369" s="62"/>
      <c r="L369" s="62"/>
      <c r="M369" s="62"/>
      <c r="N369" s="62"/>
    </row>
    <row r="370" ht="15.75" customHeight="1">
      <c r="A370" s="61"/>
      <c r="K370" s="62"/>
      <c r="L370" s="62"/>
      <c r="M370" s="62"/>
      <c r="N370" s="62"/>
    </row>
    <row r="371" ht="15.75" customHeight="1">
      <c r="A371" s="61"/>
      <c r="K371" s="62"/>
      <c r="L371" s="62"/>
      <c r="M371" s="62"/>
      <c r="N371" s="62"/>
    </row>
    <row r="372" ht="15.75" customHeight="1">
      <c r="A372" s="61"/>
      <c r="K372" s="62"/>
      <c r="L372" s="62"/>
      <c r="M372" s="62"/>
      <c r="N372" s="62"/>
    </row>
    <row r="373" ht="15.75" customHeight="1">
      <c r="A373" s="61"/>
      <c r="K373" s="62"/>
      <c r="L373" s="62"/>
      <c r="M373" s="62"/>
      <c r="N373" s="62"/>
    </row>
    <row r="374" ht="15.75" customHeight="1">
      <c r="A374" s="61"/>
      <c r="K374" s="62"/>
      <c r="L374" s="62"/>
      <c r="M374" s="62"/>
      <c r="N374" s="62"/>
    </row>
    <row r="375" ht="15.75" customHeight="1">
      <c r="A375" s="61"/>
      <c r="K375" s="62"/>
      <c r="L375" s="62"/>
      <c r="M375" s="62"/>
      <c r="N375" s="62"/>
    </row>
    <row r="376" ht="15.75" customHeight="1">
      <c r="A376" s="61"/>
      <c r="K376" s="62"/>
      <c r="L376" s="62"/>
      <c r="M376" s="62"/>
      <c r="N376" s="62"/>
    </row>
    <row r="377" ht="15.75" customHeight="1">
      <c r="A377" s="61"/>
      <c r="K377" s="62"/>
      <c r="L377" s="62"/>
      <c r="M377" s="62"/>
      <c r="N377" s="62"/>
    </row>
    <row r="378" ht="15.75" customHeight="1">
      <c r="A378" s="61"/>
      <c r="K378" s="62"/>
      <c r="L378" s="62"/>
      <c r="M378" s="62"/>
      <c r="N378" s="62"/>
    </row>
    <row r="379" ht="15.75" customHeight="1">
      <c r="A379" s="61"/>
      <c r="K379" s="62"/>
      <c r="L379" s="62"/>
      <c r="M379" s="62"/>
      <c r="N379" s="62"/>
    </row>
    <row r="380" ht="15.75" customHeight="1">
      <c r="A380" s="61"/>
      <c r="K380" s="62"/>
      <c r="L380" s="62"/>
      <c r="M380" s="62"/>
      <c r="N380" s="62"/>
    </row>
    <row r="381" ht="15.75" customHeight="1">
      <c r="A381" s="61"/>
      <c r="K381" s="62"/>
      <c r="L381" s="62"/>
      <c r="M381" s="62"/>
      <c r="N381" s="62"/>
    </row>
    <row r="382" ht="15.75" customHeight="1">
      <c r="A382" s="61"/>
      <c r="K382" s="62"/>
      <c r="L382" s="62"/>
      <c r="M382" s="62"/>
      <c r="N382" s="62"/>
    </row>
    <row r="383" ht="15.75" customHeight="1">
      <c r="A383" s="61"/>
      <c r="K383" s="62"/>
      <c r="L383" s="62"/>
      <c r="M383" s="62"/>
      <c r="N383" s="62"/>
    </row>
    <row r="384" ht="15.75" customHeight="1">
      <c r="A384" s="61"/>
      <c r="K384" s="62"/>
      <c r="L384" s="62"/>
      <c r="M384" s="62"/>
      <c r="N384" s="62"/>
    </row>
    <row r="385" ht="15.75" customHeight="1">
      <c r="A385" s="61"/>
      <c r="K385" s="62"/>
      <c r="L385" s="62"/>
      <c r="M385" s="62"/>
      <c r="N385" s="62"/>
    </row>
    <row r="386" ht="15.75" customHeight="1">
      <c r="A386" s="61"/>
      <c r="K386" s="62"/>
      <c r="L386" s="62"/>
      <c r="M386" s="62"/>
      <c r="N386" s="62"/>
    </row>
    <row r="387" ht="15.75" customHeight="1">
      <c r="A387" s="61"/>
      <c r="K387" s="62"/>
      <c r="L387" s="62"/>
      <c r="M387" s="62"/>
      <c r="N387" s="62"/>
    </row>
    <row r="388" ht="15.75" customHeight="1">
      <c r="A388" s="61"/>
      <c r="K388" s="62"/>
      <c r="L388" s="62"/>
      <c r="M388" s="62"/>
      <c r="N388" s="62"/>
    </row>
    <row r="389" ht="15.75" customHeight="1">
      <c r="A389" s="61"/>
      <c r="K389" s="62"/>
      <c r="L389" s="62"/>
      <c r="M389" s="62"/>
      <c r="N389" s="62"/>
    </row>
    <row r="390" ht="15.75" customHeight="1">
      <c r="A390" s="61"/>
      <c r="K390" s="62"/>
      <c r="L390" s="62"/>
      <c r="M390" s="62"/>
      <c r="N390" s="62"/>
    </row>
    <row r="391" ht="15.75" customHeight="1">
      <c r="A391" s="61"/>
      <c r="K391" s="62"/>
      <c r="L391" s="62"/>
      <c r="M391" s="62"/>
      <c r="N391" s="62"/>
    </row>
    <row r="392" ht="15.75" customHeight="1">
      <c r="A392" s="61"/>
      <c r="K392" s="62"/>
      <c r="L392" s="62"/>
      <c r="M392" s="62"/>
      <c r="N392" s="62"/>
    </row>
    <row r="393" ht="15.75" customHeight="1">
      <c r="A393" s="61"/>
      <c r="K393" s="62"/>
      <c r="L393" s="62"/>
      <c r="M393" s="62"/>
      <c r="N393" s="62"/>
    </row>
    <row r="394" ht="15.75" customHeight="1">
      <c r="A394" s="61"/>
      <c r="K394" s="62"/>
      <c r="L394" s="62"/>
      <c r="M394" s="62"/>
      <c r="N394" s="62"/>
    </row>
    <row r="395" ht="15.75" customHeight="1">
      <c r="A395" s="61"/>
      <c r="K395" s="62"/>
      <c r="L395" s="62"/>
      <c r="M395" s="62"/>
      <c r="N395" s="62"/>
    </row>
    <row r="396" ht="15.75" customHeight="1">
      <c r="A396" s="61"/>
      <c r="K396" s="62"/>
      <c r="L396" s="62"/>
      <c r="M396" s="62"/>
      <c r="N396" s="62"/>
    </row>
    <row r="397" ht="15.75" customHeight="1">
      <c r="A397" s="61"/>
      <c r="K397" s="62"/>
      <c r="L397" s="62"/>
      <c r="M397" s="62"/>
      <c r="N397" s="62"/>
    </row>
    <row r="398" ht="15.75" customHeight="1">
      <c r="A398" s="61"/>
      <c r="K398" s="62"/>
      <c r="L398" s="62"/>
      <c r="M398" s="62"/>
      <c r="N398" s="62"/>
    </row>
    <row r="399" ht="15.75" customHeight="1">
      <c r="A399" s="61"/>
      <c r="K399" s="62"/>
      <c r="L399" s="62"/>
      <c r="M399" s="62"/>
      <c r="N399" s="62"/>
    </row>
    <row r="400" ht="15.75" customHeight="1">
      <c r="A400" s="61"/>
      <c r="K400" s="62"/>
      <c r="L400" s="62"/>
      <c r="M400" s="62"/>
      <c r="N400" s="62"/>
    </row>
    <row r="401" ht="15.75" customHeight="1">
      <c r="A401" s="61"/>
      <c r="K401" s="62"/>
      <c r="L401" s="62"/>
      <c r="M401" s="62"/>
      <c r="N401" s="62"/>
    </row>
    <row r="402" ht="15.75" customHeight="1">
      <c r="A402" s="61"/>
      <c r="K402" s="62"/>
      <c r="L402" s="62"/>
      <c r="M402" s="62"/>
      <c r="N402" s="62"/>
    </row>
    <row r="403" ht="15.75" customHeight="1">
      <c r="A403" s="61"/>
      <c r="K403" s="62"/>
      <c r="L403" s="62"/>
      <c r="M403" s="62"/>
      <c r="N403" s="62"/>
    </row>
    <row r="404" ht="15.75" customHeight="1">
      <c r="A404" s="61"/>
      <c r="K404" s="62"/>
      <c r="L404" s="62"/>
      <c r="M404" s="62"/>
      <c r="N404" s="62"/>
    </row>
    <row r="405" ht="15.75" customHeight="1">
      <c r="A405" s="61"/>
      <c r="K405" s="62"/>
      <c r="L405" s="62"/>
      <c r="M405" s="62"/>
      <c r="N405" s="62"/>
    </row>
    <row r="406" ht="15.75" customHeight="1">
      <c r="A406" s="61"/>
      <c r="K406" s="62"/>
      <c r="L406" s="62"/>
      <c r="M406" s="62"/>
      <c r="N406" s="62"/>
    </row>
    <row r="407" ht="15.75" customHeight="1">
      <c r="A407" s="61"/>
      <c r="K407" s="62"/>
      <c r="L407" s="62"/>
      <c r="M407" s="62"/>
      <c r="N407" s="62"/>
    </row>
    <row r="408" ht="15.75" customHeight="1">
      <c r="A408" s="61"/>
      <c r="K408" s="62"/>
      <c r="L408" s="62"/>
      <c r="M408" s="62"/>
      <c r="N408" s="62"/>
    </row>
    <row r="409" ht="15.75" customHeight="1">
      <c r="A409" s="61"/>
      <c r="K409" s="62"/>
      <c r="L409" s="62"/>
      <c r="M409" s="62"/>
      <c r="N409" s="62"/>
    </row>
    <row r="410" ht="15.75" customHeight="1">
      <c r="A410" s="61"/>
      <c r="K410" s="62"/>
      <c r="L410" s="62"/>
      <c r="M410" s="62"/>
      <c r="N410" s="62"/>
    </row>
    <row r="411" ht="15.75" customHeight="1">
      <c r="A411" s="61"/>
      <c r="K411" s="62"/>
      <c r="L411" s="62"/>
      <c r="M411" s="62"/>
      <c r="N411" s="62"/>
    </row>
    <row r="412" ht="15.75" customHeight="1">
      <c r="A412" s="61"/>
      <c r="K412" s="62"/>
      <c r="L412" s="62"/>
      <c r="M412" s="62"/>
      <c r="N412" s="62"/>
    </row>
    <row r="413" ht="15.75" customHeight="1">
      <c r="A413" s="61"/>
      <c r="K413" s="62"/>
      <c r="L413" s="62"/>
      <c r="M413" s="62"/>
      <c r="N413" s="62"/>
    </row>
    <row r="414" ht="15.75" customHeight="1">
      <c r="A414" s="61"/>
      <c r="K414" s="62"/>
      <c r="L414" s="62"/>
      <c r="M414" s="62"/>
      <c r="N414" s="62"/>
    </row>
    <row r="415" ht="15.75" customHeight="1">
      <c r="A415" s="61"/>
      <c r="K415" s="62"/>
      <c r="L415" s="62"/>
      <c r="M415" s="62"/>
      <c r="N415" s="62"/>
    </row>
    <row r="416" ht="15.75" customHeight="1">
      <c r="A416" s="61"/>
      <c r="K416" s="62"/>
      <c r="L416" s="62"/>
      <c r="M416" s="62"/>
      <c r="N416" s="62"/>
    </row>
    <row r="417" ht="15.75" customHeight="1">
      <c r="A417" s="61"/>
      <c r="K417" s="62"/>
      <c r="L417" s="62"/>
      <c r="M417" s="62"/>
      <c r="N417" s="62"/>
    </row>
    <row r="418" ht="15.75" customHeight="1">
      <c r="A418" s="61"/>
      <c r="K418" s="62"/>
      <c r="L418" s="62"/>
      <c r="M418" s="62"/>
      <c r="N418" s="62"/>
    </row>
    <row r="419" ht="15.75" customHeight="1">
      <c r="A419" s="61"/>
      <c r="K419" s="62"/>
      <c r="L419" s="62"/>
      <c r="M419" s="62"/>
      <c r="N419" s="62"/>
    </row>
    <row r="420" ht="15.75" customHeight="1">
      <c r="A420" s="61"/>
      <c r="K420" s="62"/>
      <c r="L420" s="62"/>
      <c r="M420" s="62"/>
      <c r="N420" s="62"/>
    </row>
    <row r="421" ht="15.75" customHeight="1">
      <c r="A421" s="61"/>
      <c r="K421" s="62"/>
      <c r="L421" s="62"/>
      <c r="M421" s="62"/>
      <c r="N421" s="62"/>
    </row>
    <row r="422" ht="15.75" customHeight="1">
      <c r="A422" s="61"/>
      <c r="K422" s="62"/>
      <c r="L422" s="62"/>
      <c r="M422" s="62"/>
      <c r="N422" s="62"/>
    </row>
    <row r="423" ht="15.75" customHeight="1">
      <c r="A423" s="61"/>
      <c r="K423" s="62"/>
      <c r="L423" s="62"/>
      <c r="M423" s="62"/>
      <c r="N423" s="62"/>
    </row>
    <row r="424" ht="15.75" customHeight="1">
      <c r="A424" s="61"/>
      <c r="K424" s="62"/>
      <c r="L424" s="62"/>
      <c r="M424" s="62"/>
      <c r="N424" s="62"/>
    </row>
    <row r="425" ht="15.75" customHeight="1">
      <c r="A425" s="61"/>
      <c r="K425" s="62"/>
      <c r="L425" s="62"/>
      <c r="M425" s="62"/>
      <c r="N425" s="62"/>
    </row>
    <row r="426" ht="15.75" customHeight="1">
      <c r="A426" s="61"/>
      <c r="K426" s="62"/>
      <c r="L426" s="62"/>
      <c r="M426" s="62"/>
      <c r="N426" s="62"/>
    </row>
    <row r="427" ht="15.75" customHeight="1">
      <c r="A427" s="61"/>
      <c r="K427" s="62"/>
      <c r="L427" s="62"/>
      <c r="M427" s="62"/>
      <c r="N427" s="62"/>
    </row>
    <row r="428" ht="15.75" customHeight="1">
      <c r="A428" s="61"/>
      <c r="K428" s="62"/>
      <c r="L428" s="62"/>
      <c r="M428" s="62"/>
      <c r="N428" s="62"/>
    </row>
    <row r="429" ht="15.75" customHeight="1">
      <c r="A429" s="61"/>
      <c r="K429" s="62"/>
      <c r="L429" s="62"/>
      <c r="M429" s="62"/>
      <c r="N429" s="62"/>
    </row>
    <row r="430" ht="15.75" customHeight="1">
      <c r="A430" s="61"/>
      <c r="K430" s="62"/>
      <c r="L430" s="62"/>
      <c r="M430" s="62"/>
      <c r="N430" s="62"/>
    </row>
    <row r="431" ht="15.75" customHeight="1">
      <c r="A431" s="61"/>
      <c r="K431" s="62"/>
      <c r="L431" s="62"/>
      <c r="M431" s="62"/>
      <c r="N431" s="62"/>
    </row>
    <row r="432" ht="15.75" customHeight="1">
      <c r="A432" s="61"/>
      <c r="K432" s="62"/>
      <c r="L432" s="62"/>
      <c r="M432" s="62"/>
      <c r="N432" s="62"/>
    </row>
    <row r="433" ht="15.75" customHeight="1">
      <c r="A433" s="61"/>
      <c r="K433" s="62"/>
      <c r="L433" s="62"/>
      <c r="M433" s="62"/>
      <c r="N433" s="62"/>
    </row>
    <row r="434" ht="15.75" customHeight="1">
      <c r="A434" s="61"/>
      <c r="K434" s="62"/>
      <c r="L434" s="62"/>
      <c r="M434" s="62"/>
      <c r="N434" s="62"/>
    </row>
    <row r="435" ht="15.75" customHeight="1">
      <c r="A435" s="61"/>
      <c r="K435" s="62"/>
      <c r="L435" s="62"/>
      <c r="M435" s="62"/>
      <c r="N435" s="62"/>
    </row>
    <row r="436" ht="15.75" customHeight="1">
      <c r="A436" s="61"/>
      <c r="K436" s="62"/>
      <c r="L436" s="62"/>
      <c r="M436" s="62"/>
      <c r="N436" s="62"/>
    </row>
    <row r="437" ht="15.75" customHeight="1">
      <c r="A437" s="61"/>
      <c r="K437" s="62"/>
      <c r="L437" s="62"/>
      <c r="M437" s="62"/>
      <c r="N437" s="62"/>
    </row>
    <row r="438" ht="15.75" customHeight="1">
      <c r="A438" s="61"/>
      <c r="K438" s="62"/>
      <c r="L438" s="62"/>
      <c r="M438" s="62"/>
      <c r="N438" s="62"/>
    </row>
    <row r="439" ht="15.75" customHeight="1">
      <c r="A439" s="61"/>
      <c r="K439" s="62"/>
      <c r="L439" s="62"/>
      <c r="M439" s="62"/>
      <c r="N439" s="62"/>
    </row>
    <row r="440" ht="15.75" customHeight="1">
      <c r="A440" s="61"/>
      <c r="K440" s="62"/>
      <c r="L440" s="62"/>
      <c r="M440" s="62"/>
      <c r="N440" s="62"/>
    </row>
    <row r="441" ht="15.75" customHeight="1">
      <c r="A441" s="61"/>
      <c r="K441" s="62"/>
      <c r="L441" s="62"/>
      <c r="M441" s="62"/>
      <c r="N441" s="62"/>
    </row>
    <row r="442" ht="15.75" customHeight="1">
      <c r="A442" s="61"/>
      <c r="K442" s="62"/>
      <c r="L442" s="62"/>
      <c r="M442" s="62"/>
      <c r="N442" s="62"/>
    </row>
    <row r="443" ht="15.75" customHeight="1">
      <c r="A443" s="61"/>
      <c r="K443" s="62"/>
      <c r="L443" s="62"/>
      <c r="M443" s="62"/>
      <c r="N443" s="62"/>
    </row>
    <row r="444" ht="15.75" customHeight="1">
      <c r="A444" s="61"/>
      <c r="K444" s="62"/>
      <c r="L444" s="62"/>
      <c r="M444" s="62"/>
      <c r="N444" s="62"/>
    </row>
    <row r="445" ht="15.75" customHeight="1">
      <c r="A445" s="61"/>
      <c r="K445" s="62"/>
      <c r="L445" s="62"/>
      <c r="M445" s="62"/>
      <c r="N445" s="62"/>
    </row>
    <row r="446" ht="15.75" customHeight="1">
      <c r="A446" s="61"/>
      <c r="K446" s="62"/>
      <c r="L446" s="62"/>
      <c r="M446" s="62"/>
      <c r="N446" s="62"/>
    </row>
    <row r="447" ht="15.75" customHeight="1">
      <c r="A447" s="61"/>
      <c r="K447" s="62"/>
      <c r="L447" s="62"/>
      <c r="M447" s="62"/>
      <c r="N447" s="62"/>
    </row>
    <row r="448" ht="15.75" customHeight="1">
      <c r="A448" s="61"/>
      <c r="K448" s="62"/>
      <c r="L448" s="62"/>
      <c r="M448" s="62"/>
      <c r="N448" s="62"/>
    </row>
    <row r="449" ht="15.75" customHeight="1">
      <c r="A449" s="61"/>
      <c r="K449" s="62"/>
      <c r="L449" s="62"/>
      <c r="M449" s="62"/>
      <c r="N449" s="62"/>
    </row>
    <row r="450" ht="15.75" customHeight="1">
      <c r="A450" s="61"/>
      <c r="K450" s="62"/>
      <c r="L450" s="62"/>
      <c r="M450" s="62"/>
      <c r="N450" s="62"/>
    </row>
    <row r="451" ht="15.75" customHeight="1">
      <c r="A451" s="61"/>
      <c r="K451" s="62"/>
      <c r="L451" s="62"/>
      <c r="M451" s="62"/>
      <c r="N451" s="62"/>
    </row>
    <row r="452" ht="15.75" customHeight="1">
      <c r="A452" s="61"/>
      <c r="K452" s="62"/>
      <c r="L452" s="62"/>
      <c r="M452" s="62"/>
      <c r="N452" s="62"/>
    </row>
    <row r="453" ht="15.75" customHeight="1">
      <c r="A453" s="61"/>
      <c r="K453" s="62"/>
      <c r="L453" s="62"/>
      <c r="M453" s="62"/>
      <c r="N453" s="62"/>
    </row>
    <row r="454" ht="15.75" customHeight="1">
      <c r="A454" s="61"/>
      <c r="K454" s="62"/>
      <c r="L454" s="62"/>
      <c r="M454" s="62"/>
      <c r="N454" s="62"/>
    </row>
    <row r="455" ht="15.75" customHeight="1">
      <c r="A455" s="61"/>
      <c r="K455" s="62"/>
      <c r="L455" s="62"/>
      <c r="M455" s="62"/>
      <c r="N455" s="62"/>
    </row>
    <row r="456" ht="15.75" customHeight="1">
      <c r="A456" s="61"/>
      <c r="K456" s="62"/>
      <c r="L456" s="62"/>
      <c r="M456" s="62"/>
      <c r="N456" s="62"/>
    </row>
    <row r="457" ht="15.75" customHeight="1">
      <c r="A457" s="61"/>
      <c r="K457" s="62"/>
      <c r="L457" s="62"/>
      <c r="M457" s="62"/>
      <c r="N457" s="62"/>
    </row>
    <row r="458" ht="15.75" customHeight="1">
      <c r="A458" s="61"/>
      <c r="K458" s="62"/>
      <c r="L458" s="62"/>
      <c r="M458" s="62"/>
      <c r="N458" s="62"/>
    </row>
    <row r="459" ht="15.75" customHeight="1">
      <c r="A459" s="61"/>
      <c r="K459" s="62"/>
      <c r="L459" s="62"/>
      <c r="M459" s="62"/>
      <c r="N459" s="62"/>
    </row>
    <row r="460" ht="15.75" customHeight="1">
      <c r="A460" s="61"/>
      <c r="K460" s="62"/>
      <c r="L460" s="62"/>
      <c r="M460" s="62"/>
      <c r="N460" s="62"/>
    </row>
    <row r="461" ht="15.75" customHeight="1">
      <c r="A461" s="61"/>
      <c r="K461" s="62"/>
      <c r="L461" s="62"/>
      <c r="M461" s="62"/>
      <c r="N461" s="62"/>
    </row>
    <row r="462" ht="15.75" customHeight="1">
      <c r="A462" s="61"/>
      <c r="K462" s="62"/>
      <c r="L462" s="62"/>
      <c r="M462" s="62"/>
      <c r="N462" s="62"/>
    </row>
    <row r="463" ht="15.75" customHeight="1">
      <c r="A463" s="61"/>
      <c r="K463" s="62"/>
      <c r="L463" s="62"/>
      <c r="M463" s="62"/>
      <c r="N463" s="62"/>
    </row>
    <row r="464" ht="15.75" customHeight="1">
      <c r="A464" s="61"/>
      <c r="K464" s="62"/>
      <c r="L464" s="62"/>
      <c r="M464" s="62"/>
      <c r="N464" s="62"/>
    </row>
    <row r="465" ht="15.75" customHeight="1">
      <c r="A465" s="61"/>
      <c r="K465" s="62"/>
      <c r="L465" s="62"/>
      <c r="M465" s="62"/>
      <c r="N465" s="62"/>
    </row>
    <row r="466" ht="15.75" customHeight="1">
      <c r="A466" s="61"/>
      <c r="K466" s="62"/>
      <c r="L466" s="62"/>
      <c r="M466" s="62"/>
      <c r="N466" s="62"/>
    </row>
    <row r="467" ht="15.75" customHeight="1">
      <c r="A467" s="61"/>
      <c r="K467" s="62"/>
      <c r="L467" s="62"/>
      <c r="M467" s="62"/>
      <c r="N467" s="62"/>
    </row>
    <row r="468" ht="15.75" customHeight="1">
      <c r="A468" s="61"/>
      <c r="K468" s="62"/>
      <c r="L468" s="62"/>
      <c r="M468" s="62"/>
      <c r="N468" s="62"/>
    </row>
    <row r="469" ht="15.75" customHeight="1">
      <c r="A469" s="61"/>
      <c r="K469" s="62"/>
      <c r="L469" s="62"/>
      <c r="M469" s="62"/>
      <c r="N469" s="62"/>
    </row>
    <row r="470" ht="15.75" customHeight="1">
      <c r="A470" s="61"/>
      <c r="K470" s="62"/>
      <c r="L470" s="62"/>
      <c r="M470" s="62"/>
      <c r="N470" s="62"/>
    </row>
    <row r="471" ht="15.75" customHeight="1">
      <c r="A471" s="61"/>
      <c r="K471" s="62"/>
      <c r="L471" s="62"/>
      <c r="M471" s="62"/>
      <c r="N471" s="62"/>
    </row>
    <row r="472" ht="15.75" customHeight="1">
      <c r="A472" s="61"/>
      <c r="K472" s="62"/>
      <c r="L472" s="62"/>
      <c r="M472" s="62"/>
      <c r="N472" s="62"/>
    </row>
    <row r="473" ht="15.75" customHeight="1">
      <c r="A473" s="61"/>
      <c r="K473" s="62"/>
      <c r="L473" s="62"/>
      <c r="M473" s="62"/>
      <c r="N473" s="62"/>
    </row>
    <row r="474" ht="15.75" customHeight="1">
      <c r="A474" s="61"/>
      <c r="K474" s="62"/>
      <c r="L474" s="62"/>
      <c r="M474" s="62"/>
      <c r="N474" s="62"/>
    </row>
    <row r="475" ht="15.75" customHeight="1">
      <c r="A475" s="61"/>
      <c r="K475" s="62"/>
      <c r="L475" s="62"/>
      <c r="M475" s="62"/>
      <c r="N475" s="62"/>
    </row>
    <row r="476" ht="15.75" customHeight="1">
      <c r="A476" s="61"/>
      <c r="K476" s="62"/>
      <c r="L476" s="62"/>
      <c r="M476" s="62"/>
      <c r="N476" s="62"/>
    </row>
    <row r="477" ht="15.75" customHeight="1">
      <c r="A477" s="61"/>
      <c r="K477" s="62"/>
      <c r="L477" s="62"/>
      <c r="M477" s="62"/>
      <c r="N477" s="62"/>
    </row>
    <row r="478" ht="15.75" customHeight="1">
      <c r="A478" s="61"/>
      <c r="K478" s="62"/>
      <c r="L478" s="62"/>
      <c r="M478" s="62"/>
      <c r="N478" s="62"/>
    </row>
    <row r="479" ht="15.75" customHeight="1">
      <c r="A479" s="61"/>
      <c r="K479" s="62"/>
      <c r="L479" s="62"/>
      <c r="M479" s="62"/>
      <c r="N479" s="62"/>
    </row>
    <row r="480" ht="15.75" customHeight="1">
      <c r="A480" s="61"/>
      <c r="K480" s="62"/>
      <c r="L480" s="62"/>
      <c r="M480" s="62"/>
      <c r="N480" s="62"/>
    </row>
    <row r="481" ht="15.75" customHeight="1">
      <c r="A481" s="61"/>
      <c r="K481" s="62"/>
      <c r="L481" s="62"/>
      <c r="M481" s="62"/>
      <c r="N481" s="62"/>
    </row>
    <row r="482" ht="15.75" customHeight="1">
      <c r="A482" s="61"/>
      <c r="K482" s="62"/>
      <c r="L482" s="62"/>
      <c r="M482" s="62"/>
      <c r="N482" s="62"/>
    </row>
    <row r="483" ht="15.75" customHeight="1">
      <c r="A483" s="61"/>
      <c r="K483" s="62"/>
      <c r="L483" s="62"/>
      <c r="M483" s="62"/>
      <c r="N483" s="62"/>
    </row>
    <row r="484" ht="15.75" customHeight="1">
      <c r="A484" s="61"/>
      <c r="K484" s="62"/>
      <c r="L484" s="62"/>
      <c r="M484" s="62"/>
      <c r="N484" s="62"/>
    </row>
    <row r="485" ht="15.75" customHeight="1">
      <c r="A485" s="61"/>
      <c r="K485" s="62"/>
      <c r="L485" s="62"/>
      <c r="M485" s="62"/>
      <c r="N485" s="62"/>
    </row>
    <row r="486" ht="15.75" customHeight="1">
      <c r="A486" s="61"/>
      <c r="K486" s="62"/>
      <c r="L486" s="62"/>
      <c r="M486" s="62"/>
      <c r="N486" s="62"/>
    </row>
    <row r="487" ht="15.75" customHeight="1">
      <c r="A487" s="61"/>
      <c r="K487" s="62"/>
      <c r="L487" s="62"/>
      <c r="M487" s="62"/>
      <c r="N487" s="62"/>
    </row>
    <row r="488" ht="15.75" customHeight="1">
      <c r="A488" s="61"/>
      <c r="K488" s="62"/>
      <c r="L488" s="62"/>
      <c r="M488" s="62"/>
      <c r="N488" s="62"/>
    </row>
    <row r="489" ht="15.75" customHeight="1">
      <c r="A489" s="61"/>
      <c r="K489" s="62"/>
      <c r="L489" s="62"/>
      <c r="M489" s="62"/>
      <c r="N489" s="62"/>
    </row>
    <row r="490" ht="15.75" customHeight="1">
      <c r="A490" s="61"/>
      <c r="K490" s="62"/>
      <c r="L490" s="62"/>
      <c r="M490" s="62"/>
      <c r="N490" s="62"/>
    </row>
    <row r="491" ht="15.75" customHeight="1">
      <c r="A491" s="61"/>
      <c r="K491" s="62"/>
      <c r="L491" s="62"/>
      <c r="M491" s="62"/>
      <c r="N491" s="62"/>
    </row>
    <row r="492" ht="15.75" customHeight="1">
      <c r="A492" s="61"/>
      <c r="K492" s="62"/>
      <c r="L492" s="62"/>
      <c r="M492" s="62"/>
      <c r="N492" s="62"/>
    </row>
    <row r="493" ht="15.75" customHeight="1">
      <c r="A493" s="61"/>
      <c r="K493" s="62"/>
      <c r="L493" s="62"/>
      <c r="M493" s="62"/>
      <c r="N493" s="62"/>
    </row>
    <row r="494" ht="15.75" customHeight="1">
      <c r="A494" s="61"/>
      <c r="K494" s="62"/>
      <c r="L494" s="62"/>
      <c r="M494" s="62"/>
      <c r="N494" s="62"/>
    </row>
    <row r="495" ht="15.75" customHeight="1">
      <c r="A495" s="61"/>
      <c r="K495" s="62"/>
      <c r="L495" s="62"/>
      <c r="M495" s="62"/>
      <c r="N495" s="62"/>
    </row>
    <row r="496" ht="15.75" customHeight="1">
      <c r="A496" s="61"/>
      <c r="K496" s="62"/>
      <c r="L496" s="62"/>
      <c r="M496" s="62"/>
      <c r="N496" s="62"/>
    </row>
    <row r="497" ht="15.75" customHeight="1">
      <c r="A497" s="61"/>
      <c r="K497" s="62"/>
      <c r="L497" s="62"/>
      <c r="M497" s="62"/>
      <c r="N497" s="62"/>
    </row>
    <row r="498" ht="15.75" customHeight="1">
      <c r="A498" s="61"/>
      <c r="K498" s="62"/>
      <c r="L498" s="62"/>
      <c r="M498" s="62"/>
      <c r="N498" s="62"/>
    </row>
    <row r="499" ht="15.75" customHeight="1">
      <c r="A499" s="61"/>
      <c r="K499" s="62"/>
      <c r="L499" s="62"/>
      <c r="M499" s="62"/>
      <c r="N499" s="62"/>
    </row>
    <row r="500" ht="15.75" customHeight="1">
      <c r="A500" s="61"/>
      <c r="K500" s="62"/>
      <c r="L500" s="62"/>
      <c r="M500" s="62"/>
      <c r="N500" s="62"/>
    </row>
    <row r="501" ht="15.75" customHeight="1">
      <c r="A501" s="61"/>
      <c r="K501" s="62"/>
      <c r="L501" s="62"/>
      <c r="M501" s="62"/>
      <c r="N501" s="62"/>
    </row>
    <row r="502" ht="15.75" customHeight="1">
      <c r="A502" s="61"/>
      <c r="K502" s="62"/>
      <c r="L502" s="62"/>
      <c r="M502" s="62"/>
      <c r="N502" s="62"/>
    </row>
    <row r="503" ht="15.75" customHeight="1">
      <c r="A503" s="61"/>
      <c r="K503" s="62"/>
      <c r="L503" s="62"/>
      <c r="M503" s="62"/>
      <c r="N503" s="62"/>
    </row>
    <row r="504" ht="15.75" customHeight="1">
      <c r="A504" s="61"/>
      <c r="K504" s="62"/>
      <c r="L504" s="62"/>
      <c r="M504" s="62"/>
      <c r="N504" s="62"/>
    </row>
    <row r="505" ht="15.75" customHeight="1">
      <c r="A505" s="61"/>
      <c r="K505" s="62"/>
      <c r="L505" s="62"/>
      <c r="M505" s="62"/>
      <c r="N505" s="62"/>
    </row>
    <row r="506" ht="15.75" customHeight="1">
      <c r="A506" s="61"/>
      <c r="K506" s="62"/>
      <c r="L506" s="62"/>
      <c r="M506" s="62"/>
      <c r="N506" s="62"/>
    </row>
    <row r="507" ht="15.75" customHeight="1">
      <c r="A507" s="61"/>
      <c r="K507" s="62"/>
      <c r="L507" s="62"/>
      <c r="M507" s="62"/>
      <c r="N507" s="62"/>
    </row>
    <row r="508" ht="15.75" customHeight="1">
      <c r="A508" s="61"/>
      <c r="K508" s="62"/>
      <c r="L508" s="62"/>
      <c r="M508" s="62"/>
      <c r="N508" s="62"/>
    </row>
    <row r="509" ht="15.75" customHeight="1">
      <c r="A509" s="61"/>
      <c r="K509" s="62"/>
      <c r="L509" s="62"/>
      <c r="M509" s="62"/>
      <c r="N509" s="62"/>
    </row>
    <row r="510" ht="15.75" customHeight="1">
      <c r="A510" s="61"/>
      <c r="K510" s="62"/>
      <c r="L510" s="62"/>
      <c r="M510" s="62"/>
      <c r="N510" s="62"/>
    </row>
    <row r="511" ht="15.75" customHeight="1">
      <c r="A511" s="61"/>
      <c r="K511" s="62"/>
      <c r="L511" s="62"/>
      <c r="M511" s="62"/>
      <c r="N511" s="62"/>
    </row>
    <row r="512" ht="15.75" customHeight="1">
      <c r="A512" s="61"/>
      <c r="K512" s="62"/>
      <c r="L512" s="62"/>
      <c r="M512" s="62"/>
      <c r="N512" s="62"/>
    </row>
    <row r="513" ht="15.75" customHeight="1">
      <c r="A513" s="61"/>
      <c r="K513" s="62"/>
      <c r="L513" s="62"/>
      <c r="M513" s="62"/>
      <c r="N513" s="62"/>
    </row>
    <row r="514" ht="15.75" customHeight="1">
      <c r="A514" s="61"/>
      <c r="K514" s="62"/>
      <c r="L514" s="62"/>
      <c r="M514" s="62"/>
      <c r="N514" s="62"/>
    </row>
    <row r="515" ht="15.75" customHeight="1">
      <c r="A515" s="61"/>
      <c r="K515" s="62"/>
      <c r="L515" s="62"/>
      <c r="M515" s="62"/>
      <c r="N515" s="62"/>
    </row>
    <row r="516" ht="15.75" customHeight="1">
      <c r="A516" s="61"/>
      <c r="K516" s="62"/>
      <c r="L516" s="62"/>
      <c r="M516" s="62"/>
      <c r="N516" s="62"/>
    </row>
    <row r="517" ht="15.75" customHeight="1">
      <c r="A517" s="61"/>
      <c r="K517" s="62"/>
      <c r="L517" s="62"/>
      <c r="M517" s="62"/>
      <c r="N517" s="62"/>
    </row>
    <row r="518" ht="15.75" customHeight="1">
      <c r="A518" s="61"/>
      <c r="K518" s="62"/>
      <c r="L518" s="62"/>
      <c r="M518" s="62"/>
      <c r="N518" s="62"/>
    </row>
    <row r="519" ht="15.75" customHeight="1">
      <c r="A519" s="61"/>
      <c r="K519" s="62"/>
      <c r="L519" s="62"/>
      <c r="M519" s="62"/>
      <c r="N519" s="62"/>
    </row>
    <row r="520" ht="15.75" customHeight="1">
      <c r="A520" s="61"/>
      <c r="K520" s="62"/>
      <c r="L520" s="62"/>
      <c r="M520" s="62"/>
      <c r="N520" s="62"/>
    </row>
    <row r="521" ht="15.75" customHeight="1">
      <c r="A521" s="61"/>
      <c r="K521" s="62"/>
      <c r="L521" s="62"/>
      <c r="M521" s="62"/>
      <c r="N521" s="62"/>
    </row>
    <row r="522" ht="15.75" customHeight="1">
      <c r="A522" s="61"/>
      <c r="K522" s="62"/>
      <c r="L522" s="62"/>
      <c r="M522" s="62"/>
      <c r="N522" s="62"/>
    </row>
    <row r="523" ht="15.75" customHeight="1">
      <c r="A523" s="61"/>
      <c r="K523" s="62"/>
      <c r="L523" s="62"/>
      <c r="M523" s="62"/>
      <c r="N523" s="62"/>
    </row>
    <row r="524" ht="15.75" customHeight="1">
      <c r="A524" s="61"/>
      <c r="K524" s="62"/>
      <c r="L524" s="62"/>
      <c r="M524" s="62"/>
      <c r="N524" s="62"/>
    </row>
    <row r="525" ht="15.75" customHeight="1">
      <c r="A525" s="61"/>
      <c r="K525" s="62"/>
      <c r="L525" s="62"/>
      <c r="M525" s="62"/>
      <c r="N525" s="62"/>
    </row>
    <row r="526" ht="15.75" customHeight="1">
      <c r="A526" s="61"/>
      <c r="K526" s="62"/>
      <c r="L526" s="62"/>
      <c r="M526" s="62"/>
      <c r="N526" s="62"/>
    </row>
    <row r="527" ht="15.75" customHeight="1">
      <c r="A527" s="61"/>
      <c r="K527" s="62"/>
      <c r="L527" s="62"/>
      <c r="M527" s="62"/>
      <c r="N527" s="62"/>
    </row>
    <row r="528" ht="15.75" customHeight="1">
      <c r="A528" s="61"/>
      <c r="K528" s="62"/>
      <c r="L528" s="62"/>
      <c r="M528" s="62"/>
      <c r="N528" s="62"/>
    </row>
    <row r="529" ht="15.75" customHeight="1">
      <c r="A529" s="61"/>
      <c r="K529" s="62"/>
      <c r="L529" s="62"/>
      <c r="M529" s="62"/>
      <c r="N529" s="62"/>
    </row>
    <row r="530" ht="15.75" customHeight="1">
      <c r="A530" s="61"/>
      <c r="K530" s="62"/>
      <c r="L530" s="62"/>
      <c r="M530" s="62"/>
      <c r="N530" s="62"/>
    </row>
    <row r="531" ht="15.75" customHeight="1">
      <c r="A531" s="61"/>
      <c r="K531" s="62"/>
      <c r="L531" s="62"/>
      <c r="M531" s="62"/>
      <c r="N531" s="62"/>
    </row>
    <row r="532" ht="15.75" customHeight="1">
      <c r="A532" s="61"/>
      <c r="K532" s="62"/>
      <c r="L532" s="62"/>
      <c r="M532" s="62"/>
      <c r="N532" s="62"/>
    </row>
    <row r="533" ht="15.75" customHeight="1">
      <c r="A533" s="61"/>
      <c r="K533" s="62"/>
      <c r="L533" s="62"/>
      <c r="M533" s="62"/>
      <c r="N533" s="62"/>
    </row>
    <row r="534" ht="15.75" customHeight="1">
      <c r="A534" s="61"/>
      <c r="K534" s="62"/>
      <c r="L534" s="62"/>
      <c r="M534" s="62"/>
      <c r="N534" s="62"/>
    </row>
    <row r="535" ht="15.75" customHeight="1">
      <c r="A535" s="61"/>
      <c r="K535" s="62"/>
      <c r="L535" s="62"/>
      <c r="M535" s="62"/>
      <c r="N535" s="62"/>
    </row>
    <row r="536" ht="15.75" customHeight="1">
      <c r="A536" s="61"/>
      <c r="K536" s="62"/>
      <c r="L536" s="62"/>
      <c r="M536" s="62"/>
      <c r="N536" s="62"/>
    </row>
    <row r="537" ht="15.75" customHeight="1">
      <c r="A537" s="61"/>
      <c r="K537" s="62"/>
      <c r="L537" s="62"/>
      <c r="M537" s="62"/>
      <c r="N537" s="62"/>
    </row>
    <row r="538" ht="15.75" customHeight="1">
      <c r="A538" s="61"/>
      <c r="K538" s="62"/>
      <c r="L538" s="62"/>
      <c r="M538" s="62"/>
      <c r="N538" s="62"/>
    </row>
    <row r="539" ht="15.75" customHeight="1">
      <c r="A539" s="61"/>
      <c r="K539" s="62"/>
      <c r="L539" s="62"/>
      <c r="M539" s="62"/>
      <c r="N539" s="62"/>
    </row>
    <row r="540" ht="15.75" customHeight="1">
      <c r="A540" s="61"/>
      <c r="K540" s="62"/>
      <c r="L540" s="62"/>
      <c r="M540" s="62"/>
      <c r="N540" s="62"/>
    </row>
    <row r="541" ht="15.75" customHeight="1">
      <c r="A541" s="61"/>
      <c r="K541" s="62"/>
      <c r="L541" s="62"/>
      <c r="M541" s="62"/>
      <c r="N541" s="62"/>
    </row>
    <row r="542" ht="15.75" customHeight="1">
      <c r="A542" s="61"/>
      <c r="K542" s="62"/>
      <c r="L542" s="62"/>
      <c r="M542" s="62"/>
      <c r="N542" s="62"/>
    </row>
    <row r="543" ht="15.75" customHeight="1">
      <c r="A543" s="61"/>
      <c r="K543" s="62"/>
      <c r="L543" s="62"/>
      <c r="M543" s="62"/>
      <c r="N543" s="62"/>
    </row>
    <row r="544" ht="15.75" customHeight="1">
      <c r="A544" s="61"/>
      <c r="K544" s="62"/>
      <c r="L544" s="62"/>
      <c r="M544" s="62"/>
      <c r="N544" s="62"/>
    </row>
    <row r="545" ht="15.75" customHeight="1">
      <c r="A545" s="61"/>
      <c r="K545" s="62"/>
      <c r="L545" s="62"/>
      <c r="M545" s="62"/>
      <c r="N545" s="62"/>
    </row>
    <row r="546" ht="15.75" customHeight="1">
      <c r="A546" s="61"/>
      <c r="K546" s="62"/>
      <c r="L546" s="62"/>
      <c r="M546" s="62"/>
      <c r="N546" s="62"/>
    </row>
    <row r="547" ht="15.75" customHeight="1">
      <c r="A547" s="61"/>
      <c r="K547" s="62"/>
      <c r="L547" s="62"/>
      <c r="M547" s="62"/>
      <c r="N547" s="62"/>
    </row>
    <row r="548" ht="15.75" customHeight="1">
      <c r="A548" s="61"/>
      <c r="K548" s="62"/>
      <c r="L548" s="62"/>
      <c r="M548" s="62"/>
      <c r="N548" s="62"/>
    </row>
    <row r="549" ht="15.75" customHeight="1">
      <c r="A549" s="61"/>
      <c r="K549" s="62"/>
      <c r="L549" s="62"/>
      <c r="M549" s="62"/>
      <c r="N549" s="62"/>
    </row>
    <row r="550" ht="15.75" customHeight="1">
      <c r="A550" s="61"/>
      <c r="K550" s="62"/>
      <c r="L550" s="62"/>
      <c r="M550" s="62"/>
      <c r="N550" s="62"/>
    </row>
    <row r="551" ht="15.75" customHeight="1">
      <c r="A551" s="61"/>
      <c r="K551" s="62"/>
      <c r="L551" s="62"/>
      <c r="M551" s="62"/>
      <c r="N551" s="62"/>
    </row>
    <row r="552" ht="15.75" customHeight="1">
      <c r="A552" s="61"/>
      <c r="K552" s="62"/>
      <c r="L552" s="62"/>
      <c r="M552" s="62"/>
      <c r="N552" s="62"/>
    </row>
    <row r="553" ht="15.75" customHeight="1">
      <c r="A553" s="61"/>
      <c r="K553" s="62"/>
      <c r="L553" s="62"/>
      <c r="M553" s="62"/>
      <c r="N553" s="62"/>
    </row>
    <row r="554" ht="15.75" customHeight="1">
      <c r="A554" s="61"/>
      <c r="K554" s="62"/>
      <c r="L554" s="62"/>
      <c r="M554" s="62"/>
      <c r="N554" s="62"/>
    </row>
    <row r="555" ht="15.75" customHeight="1">
      <c r="A555" s="61"/>
      <c r="K555" s="62"/>
      <c r="L555" s="62"/>
      <c r="M555" s="62"/>
      <c r="N555" s="62"/>
    </row>
    <row r="556" ht="15.75" customHeight="1">
      <c r="A556" s="61"/>
      <c r="K556" s="62"/>
      <c r="L556" s="62"/>
      <c r="M556" s="62"/>
      <c r="N556" s="62"/>
    </row>
    <row r="557" ht="15.75" customHeight="1">
      <c r="A557" s="61"/>
      <c r="K557" s="62"/>
      <c r="L557" s="62"/>
      <c r="M557" s="62"/>
      <c r="N557" s="62"/>
    </row>
    <row r="558" ht="15.75" customHeight="1">
      <c r="A558" s="61"/>
      <c r="K558" s="62"/>
      <c r="L558" s="62"/>
      <c r="M558" s="62"/>
      <c r="N558" s="62"/>
    </row>
    <row r="559" ht="15.75" customHeight="1">
      <c r="A559" s="61"/>
      <c r="K559" s="62"/>
      <c r="L559" s="62"/>
      <c r="M559" s="62"/>
      <c r="N559" s="62"/>
    </row>
    <row r="560" ht="15.75" customHeight="1">
      <c r="A560" s="61"/>
      <c r="K560" s="62"/>
      <c r="L560" s="62"/>
      <c r="M560" s="62"/>
      <c r="N560" s="62"/>
    </row>
    <row r="561" ht="15.75" customHeight="1">
      <c r="A561" s="61"/>
      <c r="K561" s="62"/>
      <c r="L561" s="62"/>
      <c r="M561" s="62"/>
      <c r="N561" s="62"/>
    </row>
    <row r="562" ht="15.75" customHeight="1">
      <c r="A562" s="61"/>
      <c r="K562" s="62"/>
      <c r="L562" s="62"/>
      <c r="M562" s="62"/>
      <c r="N562" s="62"/>
    </row>
    <row r="563" ht="15.75" customHeight="1">
      <c r="A563" s="61"/>
      <c r="K563" s="62"/>
      <c r="L563" s="62"/>
      <c r="M563" s="62"/>
      <c r="N563" s="62"/>
    </row>
    <row r="564" ht="15.75" customHeight="1">
      <c r="A564" s="61"/>
      <c r="K564" s="62"/>
      <c r="L564" s="62"/>
      <c r="M564" s="62"/>
      <c r="N564" s="62"/>
    </row>
    <row r="565" ht="15.75" customHeight="1">
      <c r="A565" s="61"/>
      <c r="K565" s="62"/>
      <c r="L565" s="62"/>
      <c r="M565" s="62"/>
      <c r="N565" s="62"/>
    </row>
    <row r="566" ht="15.75" customHeight="1">
      <c r="A566" s="61"/>
      <c r="K566" s="62"/>
      <c r="L566" s="62"/>
      <c r="M566" s="62"/>
      <c r="N566" s="62"/>
    </row>
    <row r="567" ht="15.75" customHeight="1">
      <c r="A567" s="61"/>
      <c r="K567" s="62"/>
      <c r="L567" s="62"/>
      <c r="M567" s="62"/>
      <c r="N567" s="62"/>
    </row>
    <row r="568" ht="15.75" customHeight="1">
      <c r="A568" s="61"/>
      <c r="K568" s="62"/>
      <c r="L568" s="62"/>
      <c r="M568" s="62"/>
      <c r="N568" s="62"/>
    </row>
    <row r="569" ht="15.75" customHeight="1">
      <c r="A569" s="61"/>
      <c r="K569" s="62"/>
      <c r="L569" s="62"/>
      <c r="M569" s="62"/>
      <c r="N569" s="62"/>
    </row>
    <row r="570" ht="15.75" customHeight="1">
      <c r="A570" s="61"/>
      <c r="K570" s="62"/>
      <c r="L570" s="62"/>
      <c r="M570" s="62"/>
      <c r="N570" s="62"/>
    </row>
    <row r="571" ht="15.75" customHeight="1">
      <c r="A571" s="61"/>
      <c r="K571" s="62"/>
      <c r="L571" s="62"/>
      <c r="M571" s="62"/>
      <c r="N571" s="62"/>
    </row>
    <row r="572" ht="15.75" customHeight="1">
      <c r="A572" s="61"/>
      <c r="K572" s="62"/>
      <c r="L572" s="62"/>
      <c r="M572" s="62"/>
      <c r="N572" s="62"/>
    </row>
    <row r="573" ht="15.75" customHeight="1">
      <c r="A573" s="61"/>
      <c r="K573" s="62"/>
      <c r="L573" s="62"/>
      <c r="M573" s="62"/>
      <c r="N573" s="62"/>
    </row>
    <row r="574" ht="15.75" customHeight="1">
      <c r="A574" s="61"/>
      <c r="K574" s="62"/>
      <c r="L574" s="62"/>
      <c r="M574" s="62"/>
      <c r="N574" s="62"/>
    </row>
    <row r="575" ht="15.75" customHeight="1">
      <c r="A575" s="61"/>
      <c r="K575" s="62"/>
      <c r="L575" s="62"/>
      <c r="M575" s="62"/>
      <c r="N575" s="62"/>
    </row>
    <row r="576" ht="15.75" customHeight="1">
      <c r="A576" s="61"/>
      <c r="K576" s="62"/>
      <c r="L576" s="62"/>
      <c r="M576" s="62"/>
      <c r="N576" s="62"/>
    </row>
    <row r="577" ht="15.75" customHeight="1">
      <c r="A577" s="61"/>
      <c r="K577" s="62"/>
      <c r="L577" s="62"/>
      <c r="M577" s="62"/>
      <c r="N577" s="62"/>
    </row>
    <row r="578" ht="15.75" customHeight="1">
      <c r="A578" s="61"/>
      <c r="K578" s="62"/>
      <c r="L578" s="62"/>
      <c r="M578" s="62"/>
      <c r="N578" s="62"/>
    </row>
    <row r="579" ht="15.75" customHeight="1">
      <c r="A579" s="61"/>
      <c r="K579" s="62"/>
      <c r="L579" s="62"/>
      <c r="M579" s="62"/>
      <c r="N579" s="62"/>
    </row>
    <row r="580" ht="15.75" customHeight="1">
      <c r="A580" s="61"/>
      <c r="K580" s="62"/>
      <c r="L580" s="62"/>
      <c r="M580" s="62"/>
      <c r="N580" s="62"/>
    </row>
    <row r="581" ht="15.75" customHeight="1">
      <c r="A581" s="61"/>
      <c r="K581" s="62"/>
      <c r="L581" s="62"/>
      <c r="M581" s="62"/>
      <c r="N581" s="62"/>
    </row>
    <row r="582" ht="15.75" customHeight="1">
      <c r="A582" s="61"/>
      <c r="K582" s="62"/>
      <c r="L582" s="62"/>
      <c r="M582" s="62"/>
      <c r="N582" s="62"/>
    </row>
    <row r="583" ht="15.75" customHeight="1">
      <c r="A583" s="61"/>
      <c r="K583" s="62"/>
      <c r="L583" s="62"/>
      <c r="M583" s="62"/>
      <c r="N583" s="62"/>
    </row>
    <row r="584" ht="15.75" customHeight="1">
      <c r="A584" s="61"/>
      <c r="K584" s="62"/>
      <c r="L584" s="62"/>
      <c r="M584" s="62"/>
      <c r="N584" s="62"/>
    </row>
    <row r="585" ht="15.75" customHeight="1">
      <c r="A585" s="61"/>
      <c r="K585" s="62"/>
      <c r="L585" s="62"/>
      <c r="M585" s="62"/>
      <c r="N585" s="62"/>
    </row>
    <row r="586" ht="15.75" customHeight="1">
      <c r="A586" s="61"/>
      <c r="K586" s="62"/>
      <c r="L586" s="62"/>
      <c r="M586" s="62"/>
      <c r="N586" s="62"/>
    </row>
    <row r="587" ht="15.75" customHeight="1">
      <c r="A587" s="61"/>
      <c r="K587" s="62"/>
      <c r="L587" s="62"/>
      <c r="M587" s="62"/>
      <c r="N587" s="62"/>
    </row>
    <row r="588" ht="15.75" customHeight="1">
      <c r="A588" s="61"/>
      <c r="K588" s="62"/>
      <c r="L588" s="62"/>
      <c r="M588" s="62"/>
      <c r="N588" s="62"/>
    </row>
    <row r="589" ht="15.75" customHeight="1">
      <c r="A589" s="61"/>
      <c r="K589" s="62"/>
      <c r="L589" s="62"/>
      <c r="M589" s="62"/>
      <c r="N589" s="62"/>
    </row>
    <row r="590" ht="15.75" customHeight="1">
      <c r="A590" s="61"/>
      <c r="K590" s="62"/>
      <c r="L590" s="62"/>
      <c r="M590" s="62"/>
      <c r="N590" s="62"/>
    </row>
    <row r="591" ht="15.75" customHeight="1">
      <c r="A591" s="61"/>
      <c r="K591" s="62"/>
      <c r="L591" s="62"/>
      <c r="M591" s="62"/>
      <c r="N591" s="62"/>
    </row>
    <row r="592" ht="15.75" customHeight="1">
      <c r="A592" s="61"/>
      <c r="K592" s="62"/>
      <c r="L592" s="62"/>
      <c r="M592" s="62"/>
      <c r="N592" s="62"/>
    </row>
    <row r="593" ht="15.75" customHeight="1">
      <c r="A593" s="61"/>
      <c r="K593" s="62"/>
      <c r="L593" s="62"/>
      <c r="M593" s="62"/>
      <c r="N593" s="62"/>
    </row>
    <row r="594" ht="15.75" customHeight="1">
      <c r="A594" s="61"/>
      <c r="K594" s="62"/>
      <c r="L594" s="62"/>
      <c r="M594" s="62"/>
      <c r="N594" s="62"/>
    </row>
    <row r="595" ht="15.75" customHeight="1">
      <c r="A595" s="61"/>
      <c r="K595" s="62"/>
      <c r="L595" s="62"/>
      <c r="M595" s="62"/>
      <c r="N595" s="62"/>
    </row>
    <row r="596" ht="15.75" customHeight="1">
      <c r="A596" s="61"/>
      <c r="K596" s="62"/>
      <c r="L596" s="62"/>
      <c r="M596" s="62"/>
      <c r="N596" s="62"/>
    </row>
    <row r="597" ht="15.75" customHeight="1">
      <c r="A597" s="61"/>
      <c r="K597" s="62"/>
      <c r="L597" s="62"/>
      <c r="M597" s="62"/>
      <c r="N597" s="62"/>
    </row>
    <row r="598" ht="15.75" customHeight="1">
      <c r="A598" s="61"/>
      <c r="K598" s="62"/>
      <c r="L598" s="62"/>
      <c r="M598" s="62"/>
      <c r="N598" s="62"/>
    </row>
    <row r="599" ht="15.75" customHeight="1">
      <c r="A599" s="61"/>
      <c r="K599" s="62"/>
      <c r="L599" s="62"/>
      <c r="M599" s="62"/>
      <c r="N599" s="62"/>
    </row>
    <row r="600" ht="15.75" customHeight="1">
      <c r="A600" s="61"/>
      <c r="K600" s="62"/>
      <c r="L600" s="62"/>
      <c r="M600" s="62"/>
      <c r="N600" s="62"/>
    </row>
    <row r="601" ht="15.75" customHeight="1">
      <c r="A601" s="61"/>
      <c r="K601" s="62"/>
      <c r="L601" s="62"/>
      <c r="M601" s="62"/>
      <c r="N601" s="62"/>
    </row>
    <row r="602" ht="15.75" customHeight="1">
      <c r="A602" s="61"/>
      <c r="K602" s="62"/>
      <c r="L602" s="62"/>
      <c r="M602" s="62"/>
      <c r="N602" s="62"/>
    </row>
    <row r="603" ht="15.75" customHeight="1">
      <c r="A603" s="61"/>
      <c r="K603" s="62"/>
      <c r="L603" s="62"/>
      <c r="M603" s="62"/>
      <c r="N603" s="62"/>
    </row>
    <row r="604" ht="15.75" customHeight="1">
      <c r="A604" s="61"/>
      <c r="K604" s="62"/>
      <c r="L604" s="62"/>
      <c r="M604" s="62"/>
      <c r="N604" s="62"/>
    </row>
    <row r="605" ht="15.75" customHeight="1">
      <c r="A605" s="61"/>
      <c r="K605" s="62"/>
      <c r="L605" s="62"/>
      <c r="M605" s="62"/>
      <c r="N605" s="62"/>
    </row>
    <row r="606" ht="15.75" customHeight="1">
      <c r="A606" s="61"/>
      <c r="K606" s="62"/>
      <c r="L606" s="62"/>
      <c r="M606" s="62"/>
      <c r="N606" s="62"/>
    </row>
    <row r="607" ht="15.75" customHeight="1">
      <c r="A607" s="61"/>
      <c r="K607" s="62"/>
      <c r="L607" s="62"/>
      <c r="M607" s="62"/>
      <c r="N607" s="62"/>
    </row>
    <row r="608" ht="15.75" customHeight="1">
      <c r="A608" s="61"/>
      <c r="K608" s="62"/>
      <c r="L608" s="62"/>
      <c r="M608" s="62"/>
      <c r="N608" s="62"/>
    </row>
    <row r="609" ht="15.75" customHeight="1">
      <c r="A609" s="61"/>
      <c r="K609" s="62"/>
      <c r="L609" s="62"/>
      <c r="M609" s="62"/>
      <c r="N609" s="62"/>
    </row>
    <row r="610" ht="15.75" customHeight="1">
      <c r="A610" s="61"/>
      <c r="K610" s="62"/>
      <c r="L610" s="62"/>
      <c r="M610" s="62"/>
      <c r="N610" s="62"/>
    </row>
    <row r="611" ht="15.75" customHeight="1">
      <c r="A611" s="61"/>
      <c r="K611" s="62"/>
      <c r="L611" s="62"/>
      <c r="M611" s="62"/>
      <c r="N611" s="62"/>
    </row>
    <row r="612" ht="15.75" customHeight="1">
      <c r="A612" s="61"/>
      <c r="K612" s="62"/>
      <c r="L612" s="62"/>
      <c r="M612" s="62"/>
      <c r="N612" s="62"/>
    </row>
    <row r="613" ht="15.75" customHeight="1">
      <c r="A613" s="61"/>
      <c r="K613" s="62"/>
      <c r="L613" s="62"/>
      <c r="M613" s="62"/>
      <c r="N613" s="62"/>
    </row>
    <row r="614" ht="15.75" customHeight="1">
      <c r="A614" s="61"/>
      <c r="K614" s="62"/>
      <c r="L614" s="62"/>
      <c r="M614" s="62"/>
      <c r="N614" s="62"/>
    </row>
    <row r="615" ht="15.75" customHeight="1">
      <c r="A615" s="61"/>
      <c r="K615" s="62"/>
      <c r="L615" s="62"/>
      <c r="M615" s="62"/>
      <c r="N615" s="62"/>
    </row>
    <row r="616" ht="15.75" customHeight="1">
      <c r="A616" s="61"/>
      <c r="K616" s="62"/>
      <c r="L616" s="62"/>
      <c r="M616" s="62"/>
      <c r="N616" s="62"/>
    </row>
    <row r="617" ht="15.75" customHeight="1">
      <c r="A617" s="61"/>
      <c r="K617" s="62"/>
      <c r="L617" s="62"/>
      <c r="M617" s="62"/>
      <c r="N617" s="62"/>
    </row>
    <row r="618" ht="15.75" customHeight="1">
      <c r="A618" s="61"/>
      <c r="K618" s="62"/>
      <c r="L618" s="62"/>
      <c r="M618" s="62"/>
      <c r="N618" s="62"/>
    </row>
    <row r="619" ht="15.75" customHeight="1">
      <c r="A619" s="61"/>
      <c r="K619" s="62"/>
      <c r="L619" s="62"/>
      <c r="M619" s="62"/>
      <c r="N619" s="62"/>
    </row>
    <row r="620" ht="15.75" customHeight="1">
      <c r="A620" s="61"/>
      <c r="K620" s="62"/>
      <c r="L620" s="62"/>
      <c r="M620" s="62"/>
      <c r="N620" s="62"/>
    </row>
    <row r="621" ht="15.75" customHeight="1">
      <c r="A621" s="61"/>
      <c r="K621" s="62"/>
      <c r="L621" s="62"/>
      <c r="M621" s="62"/>
      <c r="N621" s="62"/>
    </row>
    <row r="622" ht="15.75" customHeight="1">
      <c r="A622" s="61"/>
      <c r="K622" s="62"/>
      <c r="L622" s="62"/>
      <c r="M622" s="62"/>
      <c r="N622" s="62"/>
    </row>
    <row r="623" ht="15.75" customHeight="1">
      <c r="A623" s="61"/>
      <c r="K623" s="62"/>
      <c r="L623" s="62"/>
      <c r="M623" s="62"/>
      <c r="N623" s="62"/>
    </row>
    <row r="624" ht="15.75" customHeight="1">
      <c r="A624" s="61"/>
      <c r="K624" s="62"/>
      <c r="L624" s="62"/>
      <c r="M624" s="62"/>
      <c r="N624" s="62"/>
    </row>
    <row r="625" ht="15.75" customHeight="1">
      <c r="A625" s="61"/>
      <c r="K625" s="62"/>
      <c r="L625" s="62"/>
      <c r="M625" s="62"/>
      <c r="N625" s="62"/>
    </row>
    <row r="626" ht="15.75" customHeight="1">
      <c r="A626" s="61"/>
      <c r="K626" s="62"/>
      <c r="L626" s="62"/>
      <c r="M626" s="62"/>
      <c r="N626" s="62"/>
    </row>
    <row r="627" ht="15.75" customHeight="1">
      <c r="A627" s="61"/>
      <c r="K627" s="62"/>
      <c r="L627" s="62"/>
      <c r="M627" s="62"/>
      <c r="N627" s="62"/>
    </row>
    <row r="628" ht="15.75" customHeight="1">
      <c r="A628" s="61"/>
      <c r="K628" s="62"/>
      <c r="L628" s="62"/>
      <c r="M628" s="62"/>
      <c r="N628" s="62"/>
    </row>
    <row r="629" ht="15.75" customHeight="1">
      <c r="A629" s="61"/>
      <c r="K629" s="62"/>
      <c r="L629" s="62"/>
      <c r="M629" s="62"/>
      <c r="N629" s="62"/>
    </row>
    <row r="630" ht="15.75" customHeight="1">
      <c r="A630" s="61"/>
      <c r="K630" s="62"/>
      <c r="L630" s="62"/>
      <c r="M630" s="62"/>
      <c r="N630" s="62"/>
    </row>
    <row r="631" ht="15.75" customHeight="1">
      <c r="A631" s="61"/>
      <c r="K631" s="62"/>
      <c r="L631" s="62"/>
      <c r="M631" s="62"/>
      <c r="N631" s="62"/>
    </row>
    <row r="632" ht="15.75" customHeight="1">
      <c r="A632" s="61"/>
      <c r="K632" s="62"/>
      <c r="L632" s="62"/>
      <c r="M632" s="62"/>
      <c r="N632" s="62"/>
    </row>
    <row r="633" ht="15.75" customHeight="1">
      <c r="A633" s="61"/>
      <c r="K633" s="62"/>
      <c r="L633" s="62"/>
      <c r="M633" s="62"/>
      <c r="N633" s="62"/>
    </row>
    <row r="634" ht="15.75" customHeight="1">
      <c r="A634" s="61"/>
      <c r="K634" s="62"/>
      <c r="L634" s="62"/>
      <c r="M634" s="62"/>
      <c r="N634" s="62"/>
    </row>
    <row r="635" ht="15.75" customHeight="1">
      <c r="A635" s="61"/>
      <c r="K635" s="62"/>
      <c r="L635" s="62"/>
      <c r="M635" s="62"/>
      <c r="N635" s="62"/>
    </row>
    <row r="636" ht="15.75" customHeight="1">
      <c r="A636" s="61"/>
      <c r="K636" s="62"/>
      <c r="L636" s="62"/>
      <c r="M636" s="62"/>
      <c r="N636" s="62"/>
    </row>
    <row r="637" ht="15.75" customHeight="1">
      <c r="A637" s="61"/>
      <c r="K637" s="62"/>
      <c r="L637" s="62"/>
      <c r="M637" s="62"/>
      <c r="N637" s="62"/>
    </row>
    <row r="638" ht="15.75" customHeight="1">
      <c r="A638" s="61"/>
      <c r="K638" s="62"/>
      <c r="L638" s="62"/>
      <c r="M638" s="62"/>
      <c r="N638" s="62"/>
    </row>
    <row r="639" ht="15.75" customHeight="1">
      <c r="A639" s="61"/>
      <c r="K639" s="62"/>
      <c r="L639" s="62"/>
      <c r="M639" s="62"/>
      <c r="N639" s="62"/>
    </row>
    <row r="640" ht="15.75" customHeight="1">
      <c r="A640" s="61"/>
      <c r="K640" s="62"/>
      <c r="L640" s="62"/>
      <c r="M640" s="62"/>
      <c r="N640" s="62"/>
    </row>
    <row r="641" ht="15.75" customHeight="1">
      <c r="A641" s="61"/>
      <c r="K641" s="62"/>
      <c r="L641" s="62"/>
      <c r="M641" s="62"/>
      <c r="N641" s="62"/>
    </row>
    <row r="642" ht="15.75" customHeight="1">
      <c r="A642" s="61"/>
      <c r="K642" s="62"/>
      <c r="L642" s="62"/>
      <c r="M642" s="62"/>
      <c r="N642" s="62"/>
    </row>
    <row r="643" ht="15.75" customHeight="1">
      <c r="A643" s="61"/>
      <c r="K643" s="62"/>
      <c r="L643" s="62"/>
      <c r="M643" s="62"/>
      <c r="N643" s="62"/>
    </row>
    <row r="644" ht="15.75" customHeight="1">
      <c r="A644" s="61"/>
      <c r="K644" s="62"/>
      <c r="L644" s="62"/>
      <c r="M644" s="62"/>
      <c r="N644" s="62"/>
    </row>
    <row r="645" ht="15.75" customHeight="1">
      <c r="A645" s="61"/>
      <c r="K645" s="62"/>
      <c r="L645" s="62"/>
      <c r="M645" s="62"/>
      <c r="N645" s="62"/>
    </row>
    <row r="646" ht="15.75" customHeight="1">
      <c r="A646" s="61"/>
      <c r="K646" s="62"/>
      <c r="L646" s="62"/>
      <c r="M646" s="62"/>
      <c r="N646" s="62"/>
    </row>
    <row r="647" ht="15.75" customHeight="1">
      <c r="A647" s="61"/>
      <c r="K647" s="62"/>
      <c r="L647" s="62"/>
      <c r="M647" s="62"/>
      <c r="N647" s="62"/>
    </row>
    <row r="648" ht="15.75" customHeight="1">
      <c r="A648" s="61"/>
      <c r="K648" s="62"/>
      <c r="L648" s="62"/>
      <c r="M648" s="62"/>
      <c r="N648" s="62"/>
    </row>
    <row r="649" ht="15.75" customHeight="1">
      <c r="A649" s="61"/>
      <c r="K649" s="62"/>
      <c r="L649" s="62"/>
      <c r="M649" s="62"/>
      <c r="N649" s="62"/>
    </row>
    <row r="650" ht="15.75" customHeight="1">
      <c r="A650" s="61"/>
      <c r="K650" s="62"/>
      <c r="L650" s="62"/>
      <c r="M650" s="62"/>
      <c r="N650" s="62"/>
    </row>
    <row r="651" ht="15.75" customHeight="1">
      <c r="A651" s="61"/>
      <c r="K651" s="62"/>
      <c r="L651" s="62"/>
      <c r="M651" s="62"/>
      <c r="N651" s="62"/>
    </row>
    <row r="652" ht="15.75" customHeight="1">
      <c r="A652" s="61"/>
      <c r="K652" s="62"/>
      <c r="L652" s="62"/>
      <c r="M652" s="62"/>
      <c r="N652" s="62"/>
    </row>
    <row r="653" ht="15.75" customHeight="1">
      <c r="A653" s="61"/>
      <c r="K653" s="62"/>
      <c r="L653" s="62"/>
      <c r="M653" s="62"/>
      <c r="N653" s="62"/>
    </row>
    <row r="654" ht="15.75" customHeight="1">
      <c r="A654" s="61"/>
      <c r="K654" s="62"/>
      <c r="L654" s="62"/>
      <c r="M654" s="62"/>
      <c r="N654" s="62"/>
    </row>
    <row r="655" ht="15.75" customHeight="1">
      <c r="A655" s="61"/>
      <c r="K655" s="62"/>
      <c r="L655" s="62"/>
      <c r="M655" s="62"/>
      <c r="N655" s="62"/>
    </row>
    <row r="656" ht="15.75" customHeight="1">
      <c r="A656" s="61"/>
      <c r="K656" s="62"/>
      <c r="L656" s="62"/>
      <c r="M656" s="62"/>
      <c r="N656" s="62"/>
    </row>
    <row r="657" ht="15.75" customHeight="1">
      <c r="A657" s="61"/>
      <c r="K657" s="62"/>
      <c r="L657" s="62"/>
      <c r="M657" s="62"/>
      <c r="N657" s="62"/>
    </row>
    <row r="658" ht="15.75" customHeight="1">
      <c r="A658" s="61"/>
      <c r="K658" s="62"/>
      <c r="L658" s="62"/>
      <c r="M658" s="62"/>
      <c r="N658" s="62"/>
    </row>
    <row r="659" ht="15.75" customHeight="1">
      <c r="A659" s="61"/>
      <c r="K659" s="62"/>
      <c r="L659" s="62"/>
      <c r="M659" s="62"/>
      <c r="N659" s="62"/>
    </row>
    <row r="660" ht="15.75" customHeight="1">
      <c r="A660" s="61"/>
      <c r="K660" s="62"/>
      <c r="L660" s="62"/>
      <c r="M660" s="62"/>
      <c r="N660" s="62"/>
    </row>
    <row r="661" ht="15.75" customHeight="1">
      <c r="A661" s="61"/>
      <c r="K661" s="62"/>
      <c r="L661" s="62"/>
      <c r="M661" s="62"/>
      <c r="N661" s="62"/>
    </row>
    <row r="662" ht="15.75" customHeight="1">
      <c r="A662" s="61"/>
      <c r="K662" s="62"/>
      <c r="L662" s="62"/>
      <c r="M662" s="62"/>
      <c r="N662" s="62"/>
    </row>
    <row r="663" ht="15.75" customHeight="1">
      <c r="A663" s="61"/>
      <c r="K663" s="62"/>
      <c r="L663" s="62"/>
      <c r="M663" s="62"/>
      <c r="N663" s="62"/>
    </row>
    <row r="664" ht="15.75" customHeight="1">
      <c r="A664" s="61"/>
      <c r="K664" s="62"/>
      <c r="L664" s="62"/>
      <c r="M664" s="62"/>
      <c r="N664" s="62"/>
    </row>
    <row r="665" ht="15.75" customHeight="1">
      <c r="A665" s="61"/>
      <c r="K665" s="62"/>
      <c r="L665" s="62"/>
      <c r="M665" s="62"/>
      <c r="N665" s="62"/>
    </row>
    <row r="666" ht="15.75" customHeight="1">
      <c r="A666" s="61"/>
      <c r="K666" s="62"/>
      <c r="L666" s="62"/>
      <c r="M666" s="62"/>
      <c r="N666" s="62"/>
    </row>
    <row r="667" ht="15.75" customHeight="1">
      <c r="A667" s="61"/>
      <c r="K667" s="62"/>
      <c r="L667" s="62"/>
      <c r="M667" s="62"/>
      <c r="N667" s="62"/>
    </row>
    <row r="668" ht="15.75" customHeight="1">
      <c r="A668" s="61"/>
      <c r="K668" s="62"/>
      <c r="L668" s="62"/>
      <c r="M668" s="62"/>
      <c r="N668" s="62"/>
    </row>
    <row r="669" ht="15.75" customHeight="1">
      <c r="A669" s="61"/>
      <c r="K669" s="62"/>
      <c r="L669" s="62"/>
      <c r="M669" s="62"/>
      <c r="N669" s="62"/>
    </row>
    <row r="670" ht="15.75" customHeight="1">
      <c r="A670" s="61"/>
      <c r="K670" s="62"/>
      <c r="L670" s="62"/>
      <c r="M670" s="62"/>
      <c r="N670" s="62"/>
    </row>
    <row r="671" ht="15.75" customHeight="1">
      <c r="A671" s="61"/>
      <c r="K671" s="62"/>
      <c r="L671" s="62"/>
      <c r="M671" s="62"/>
      <c r="N671" s="62"/>
    </row>
    <row r="672" ht="15.75" customHeight="1">
      <c r="A672" s="61"/>
      <c r="K672" s="62"/>
      <c r="L672" s="62"/>
      <c r="M672" s="62"/>
      <c r="N672" s="62"/>
    </row>
    <row r="673" ht="15.75" customHeight="1">
      <c r="A673" s="61"/>
      <c r="K673" s="62"/>
      <c r="L673" s="62"/>
      <c r="M673" s="62"/>
      <c r="N673" s="62"/>
    </row>
    <row r="674" ht="15.75" customHeight="1">
      <c r="A674" s="61"/>
      <c r="K674" s="62"/>
      <c r="L674" s="62"/>
      <c r="M674" s="62"/>
      <c r="N674" s="62"/>
    </row>
    <row r="675" ht="15.75" customHeight="1">
      <c r="A675" s="61"/>
      <c r="K675" s="62"/>
      <c r="L675" s="62"/>
      <c r="M675" s="62"/>
      <c r="N675" s="62"/>
    </row>
    <row r="676" ht="15.75" customHeight="1">
      <c r="A676" s="61"/>
      <c r="K676" s="62"/>
      <c r="L676" s="62"/>
      <c r="M676" s="62"/>
      <c r="N676" s="62"/>
    </row>
    <row r="677" ht="15.75" customHeight="1">
      <c r="A677" s="61"/>
      <c r="K677" s="62"/>
      <c r="L677" s="62"/>
      <c r="M677" s="62"/>
      <c r="N677" s="62"/>
    </row>
    <row r="678" ht="15.75" customHeight="1">
      <c r="A678" s="61"/>
      <c r="K678" s="62"/>
      <c r="L678" s="62"/>
      <c r="M678" s="62"/>
      <c r="N678" s="62"/>
    </row>
    <row r="679" ht="15.75" customHeight="1">
      <c r="A679" s="61"/>
      <c r="K679" s="62"/>
      <c r="L679" s="62"/>
      <c r="M679" s="62"/>
      <c r="N679" s="62"/>
    </row>
    <row r="680" ht="15.75" customHeight="1">
      <c r="A680" s="61"/>
      <c r="K680" s="62"/>
      <c r="L680" s="62"/>
      <c r="M680" s="62"/>
      <c r="N680" s="62"/>
    </row>
    <row r="681" ht="15.75" customHeight="1">
      <c r="A681" s="61"/>
      <c r="K681" s="62"/>
      <c r="L681" s="62"/>
      <c r="M681" s="62"/>
      <c r="N681" s="62"/>
    </row>
    <row r="682" ht="15.75" customHeight="1">
      <c r="A682" s="61"/>
      <c r="K682" s="62"/>
      <c r="L682" s="62"/>
      <c r="M682" s="62"/>
      <c r="N682" s="62"/>
    </row>
    <row r="683" ht="15.75" customHeight="1">
      <c r="A683" s="61"/>
      <c r="K683" s="62"/>
      <c r="L683" s="62"/>
      <c r="M683" s="62"/>
      <c r="N683" s="62"/>
    </row>
    <row r="684" ht="15.75" customHeight="1">
      <c r="A684" s="61"/>
      <c r="K684" s="62"/>
      <c r="L684" s="62"/>
      <c r="M684" s="62"/>
      <c r="N684" s="62"/>
    </row>
    <row r="685" ht="15.75" customHeight="1">
      <c r="A685" s="61"/>
      <c r="K685" s="62"/>
      <c r="L685" s="62"/>
      <c r="M685" s="62"/>
      <c r="N685" s="62"/>
    </row>
    <row r="686" ht="15.75" customHeight="1">
      <c r="A686" s="61"/>
      <c r="K686" s="62"/>
      <c r="L686" s="62"/>
      <c r="M686" s="62"/>
      <c r="N686" s="62"/>
    </row>
    <row r="687" ht="15.75" customHeight="1">
      <c r="A687" s="61"/>
      <c r="K687" s="62"/>
      <c r="L687" s="62"/>
      <c r="M687" s="62"/>
      <c r="N687" s="62"/>
    </row>
    <row r="688" ht="15.75" customHeight="1">
      <c r="A688" s="61"/>
      <c r="K688" s="62"/>
      <c r="L688" s="62"/>
      <c r="M688" s="62"/>
      <c r="N688" s="62"/>
    </row>
    <row r="689" ht="15.75" customHeight="1">
      <c r="A689" s="61"/>
      <c r="K689" s="62"/>
      <c r="L689" s="62"/>
      <c r="M689" s="62"/>
      <c r="N689" s="62"/>
    </row>
    <row r="690" ht="15.75" customHeight="1">
      <c r="A690" s="61"/>
      <c r="K690" s="62"/>
      <c r="L690" s="62"/>
      <c r="M690" s="62"/>
      <c r="N690" s="62"/>
    </row>
    <row r="691" ht="15.75" customHeight="1">
      <c r="A691" s="61"/>
      <c r="K691" s="62"/>
      <c r="L691" s="62"/>
      <c r="M691" s="62"/>
      <c r="N691" s="62"/>
    </row>
    <row r="692" ht="15.75" customHeight="1">
      <c r="A692" s="61"/>
      <c r="K692" s="62"/>
      <c r="L692" s="62"/>
      <c r="M692" s="62"/>
      <c r="N692" s="62"/>
    </row>
    <row r="693" ht="15.75" customHeight="1">
      <c r="A693" s="61"/>
      <c r="K693" s="62"/>
      <c r="L693" s="62"/>
      <c r="M693" s="62"/>
      <c r="N693" s="62"/>
    </row>
    <row r="694" ht="15.75" customHeight="1">
      <c r="A694" s="61"/>
      <c r="K694" s="62"/>
      <c r="L694" s="62"/>
      <c r="M694" s="62"/>
      <c r="N694" s="62"/>
    </row>
    <row r="695" ht="15.75" customHeight="1">
      <c r="A695" s="61"/>
      <c r="K695" s="62"/>
      <c r="L695" s="62"/>
      <c r="M695" s="62"/>
      <c r="N695" s="62"/>
    </row>
    <row r="696" ht="15.75" customHeight="1">
      <c r="A696" s="61"/>
      <c r="K696" s="62"/>
      <c r="L696" s="62"/>
      <c r="M696" s="62"/>
      <c r="N696" s="62"/>
    </row>
    <row r="697" ht="15.75" customHeight="1">
      <c r="A697" s="61"/>
      <c r="K697" s="62"/>
      <c r="L697" s="62"/>
      <c r="M697" s="62"/>
      <c r="N697" s="62"/>
    </row>
    <row r="698" ht="15.75" customHeight="1">
      <c r="A698" s="61"/>
      <c r="K698" s="62"/>
      <c r="L698" s="62"/>
      <c r="M698" s="62"/>
      <c r="N698" s="62"/>
    </row>
    <row r="699" ht="15.75" customHeight="1">
      <c r="A699" s="61"/>
      <c r="K699" s="62"/>
      <c r="L699" s="62"/>
      <c r="M699" s="62"/>
      <c r="N699" s="62"/>
    </row>
    <row r="700" ht="15.75" customHeight="1">
      <c r="A700" s="61"/>
      <c r="K700" s="62"/>
      <c r="L700" s="62"/>
      <c r="M700" s="62"/>
      <c r="N700" s="62"/>
    </row>
    <row r="701" ht="15.75" customHeight="1">
      <c r="A701" s="61"/>
      <c r="K701" s="62"/>
      <c r="L701" s="62"/>
      <c r="M701" s="62"/>
      <c r="N701" s="62"/>
    </row>
    <row r="702" ht="15.75" customHeight="1">
      <c r="A702" s="61"/>
      <c r="K702" s="62"/>
      <c r="L702" s="62"/>
      <c r="M702" s="62"/>
      <c r="N702" s="62"/>
    </row>
    <row r="703" ht="15.75" customHeight="1">
      <c r="A703" s="61"/>
      <c r="K703" s="62"/>
      <c r="L703" s="62"/>
      <c r="M703" s="62"/>
      <c r="N703" s="62"/>
    </row>
    <row r="704" ht="15.75" customHeight="1">
      <c r="A704" s="61"/>
      <c r="K704" s="62"/>
      <c r="L704" s="62"/>
      <c r="M704" s="62"/>
      <c r="N704" s="62"/>
    </row>
    <row r="705" ht="15.75" customHeight="1">
      <c r="A705" s="61"/>
      <c r="K705" s="62"/>
      <c r="L705" s="62"/>
      <c r="M705" s="62"/>
      <c r="N705" s="62"/>
    </row>
    <row r="706" ht="15.75" customHeight="1">
      <c r="A706" s="61"/>
      <c r="K706" s="62"/>
      <c r="L706" s="62"/>
      <c r="M706" s="62"/>
      <c r="N706" s="62"/>
    </row>
    <row r="707" ht="15.75" customHeight="1">
      <c r="A707" s="61"/>
      <c r="K707" s="62"/>
      <c r="L707" s="62"/>
      <c r="M707" s="62"/>
      <c r="N707" s="62"/>
    </row>
    <row r="708" ht="15.75" customHeight="1">
      <c r="A708" s="61"/>
      <c r="K708" s="62"/>
      <c r="L708" s="62"/>
      <c r="M708" s="62"/>
      <c r="N708" s="62"/>
    </row>
    <row r="709" ht="15.75" customHeight="1">
      <c r="A709" s="61"/>
      <c r="K709" s="62"/>
      <c r="L709" s="62"/>
      <c r="M709" s="62"/>
      <c r="N709" s="62"/>
    </row>
    <row r="710" ht="15.75" customHeight="1">
      <c r="A710" s="61"/>
      <c r="K710" s="62"/>
      <c r="L710" s="62"/>
      <c r="M710" s="62"/>
      <c r="N710" s="62"/>
    </row>
    <row r="711" ht="15.75" customHeight="1">
      <c r="A711" s="61"/>
      <c r="K711" s="62"/>
      <c r="L711" s="62"/>
      <c r="M711" s="62"/>
      <c r="N711" s="62"/>
    </row>
    <row r="712" ht="15.75" customHeight="1">
      <c r="A712" s="61"/>
      <c r="K712" s="62"/>
      <c r="L712" s="62"/>
      <c r="M712" s="62"/>
      <c r="N712" s="62"/>
    </row>
    <row r="713" ht="15.75" customHeight="1">
      <c r="A713" s="61"/>
      <c r="K713" s="62"/>
      <c r="L713" s="62"/>
      <c r="M713" s="62"/>
      <c r="N713" s="62"/>
    </row>
    <row r="714" ht="15.75" customHeight="1">
      <c r="A714" s="61"/>
      <c r="K714" s="62"/>
      <c r="L714" s="62"/>
      <c r="M714" s="62"/>
      <c r="N714" s="62"/>
    </row>
    <row r="715" ht="15.75" customHeight="1">
      <c r="A715" s="61"/>
      <c r="K715" s="62"/>
      <c r="L715" s="62"/>
      <c r="M715" s="62"/>
      <c r="N715" s="62"/>
    </row>
    <row r="716" ht="15.75" customHeight="1">
      <c r="A716" s="61"/>
      <c r="K716" s="62"/>
      <c r="L716" s="62"/>
      <c r="M716" s="62"/>
      <c r="N716" s="62"/>
    </row>
    <row r="717" ht="15.75" customHeight="1">
      <c r="A717" s="61"/>
      <c r="K717" s="62"/>
      <c r="L717" s="62"/>
      <c r="M717" s="62"/>
      <c r="N717" s="62"/>
    </row>
    <row r="718" ht="15.75" customHeight="1">
      <c r="A718" s="61"/>
      <c r="K718" s="62"/>
      <c r="L718" s="62"/>
      <c r="M718" s="62"/>
      <c r="N718" s="62"/>
    </row>
    <row r="719" ht="15.75" customHeight="1">
      <c r="A719" s="61"/>
      <c r="K719" s="62"/>
      <c r="L719" s="62"/>
      <c r="M719" s="62"/>
      <c r="N719" s="62"/>
    </row>
    <row r="720" ht="15.75" customHeight="1">
      <c r="A720" s="61"/>
      <c r="K720" s="62"/>
      <c r="L720" s="62"/>
      <c r="M720" s="62"/>
      <c r="N720" s="62"/>
    </row>
    <row r="721" ht="15.75" customHeight="1">
      <c r="A721" s="61"/>
      <c r="K721" s="62"/>
      <c r="L721" s="62"/>
      <c r="M721" s="62"/>
      <c r="N721" s="62"/>
    </row>
    <row r="722" ht="15.75" customHeight="1">
      <c r="A722" s="61"/>
      <c r="K722" s="62"/>
      <c r="L722" s="62"/>
      <c r="M722" s="62"/>
      <c r="N722" s="62"/>
    </row>
    <row r="723" ht="15.75" customHeight="1">
      <c r="A723" s="61"/>
      <c r="K723" s="62"/>
      <c r="L723" s="62"/>
      <c r="M723" s="62"/>
      <c r="N723" s="62"/>
    </row>
    <row r="724" ht="15.75" customHeight="1">
      <c r="A724" s="61"/>
      <c r="K724" s="62"/>
      <c r="L724" s="62"/>
      <c r="M724" s="62"/>
      <c r="N724" s="62"/>
    </row>
    <row r="725" ht="15.75" customHeight="1">
      <c r="A725" s="61"/>
      <c r="K725" s="62"/>
      <c r="L725" s="62"/>
      <c r="M725" s="62"/>
      <c r="N725" s="62"/>
    </row>
    <row r="726" ht="15.75" customHeight="1">
      <c r="A726" s="61"/>
      <c r="K726" s="62"/>
      <c r="L726" s="62"/>
      <c r="M726" s="62"/>
      <c r="N726" s="62"/>
    </row>
    <row r="727" ht="15.75" customHeight="1">
      <c r="A727" s="61"/>
      <c r="K727" s="62"/>
      <c r="L727" s="62"/>
      <c r="M727" s="62"/>
      <c r="N727" s="62"/>
    </row>
    <row r="728" ht="15.75" customHeight="1">
      <c r="A728" s="61"/>
      <c r="K728" s="62"/>
      <c r="L728" s="62"/>
      <c r="M728" s="62"/>
      <c r="N728" s="62"/>
    </row>
    <row r="729" ht="15.75" customHeight="1">
      <c r="A729" s="61"/>
      <c r="K729" s="62"/>
      <c r="L729" s="62"/>
      <c r="M729" s="62"/>
      <c r="N729" s="62"/>
    </row>
    <row r="730" ht="15.75" customHeight="1">
      <c r="A730" s="61"/>
      <c r="K730" s="62"/>
      <c r="L730" s="62"/>
      <c r="M730" s="62"/>
      <c r="N730" s="62"/>
    </row>
    <row r="731" ht="15.75" customHeight="1">
      <c r="A731" s="61"/>
      <c r="K731" s="62"/>
      <c r="L731" s="62"/>
      <c r="M731" s="62"/>
      <c r="N731" s="62"/>
    </row>
    <row r="732" ht="15.75" customHeight="1">
      <c r="A732" s="61"/>
      <c r="K732" s="62"/>
      <c r="L732" s="62"/>
      <c r="M732" s="62"/>
      <c r="N732" s="62"/>
    </row>
    <row r="733" ht="15.75" customHeight="1">
      <c r="A733" s="61"/>
      <c r="K733" s="62"/>
      <c r="L733" s="62"/>
      <c r="M733" s="62"/>
      <c r="N733" s="62"/>
    </row>
    <row r="734" ht="15.75" customHeight="1">
      <c r="A734" s="61"/>
      <c r="K734" s="62"/>
      <c r="L734" s="62"/>
      <c r="M734" s="62"/>
      <c r="N734" s="62"/>
    </row>
    <row r="735" ht="15.75" customHeight="1">
      <c r="A735" s="61"/>
      <c r="K735" s="62"/>
      <c r="L735" s="62"/>
      <c r="M735" s="62"/>
      <c r="N735" s="62"/>
    </row>
    <row r="736" ht="15.75" customHeight="1">
      <c r="A736" s="61"/>
      <c r="K736" s="62"/>
      <c r="L736" s="62"/>
      <c r="M736" s="62"/>
      <c r="N736" s="62"/>
    </row>
    <row r="737" ht="15.75" customHeight="1">
      <c r="A737" s="61"/>
      <c r="K737" s="62"/>
      <c r="L737" s="62"/>
      <c r="M737" s="62"/>
      <c r="N737" s="62"/>
    </row>
    <row r="738" ht="15.75" customHeight="1">
      <c r="A738" s="61"/>
      <c r="K738" s="62"/>
      <c r="L738" s="62"/>
      <c r="M738" s="62"/>
      <c r="N738" s="62"/>
    </row>
    <row r="739" ht="15.75" customHeight="1">
      <c r="A739" s="61"/>
      <c r="K739" s="62"/>
      <c r="L739" s="62"/>
      <c r="M739" s="62"/>
      <c r="N739" s="62"/>
    </row>
    <row r="740" ht="15.75" customHeight="1">
      <c r="A740" s="61"/>
      <c r="K740" s="62"/>
      <c r="L740" s="62"/>
      <c r="M740" s="62"/>
      <c r="N740" s="62"/>
    </row>
    <row r="741" ht="15.75" customHeight="1">
      <c r="A741" s="61"/>
      <c r="K741" s="62"/>
      <c r="L741" s="62"/>
      <c r="M741" s="62"/>
      <c r="N741" s="62"/>
    </row>
    <row r="742" ht="15.75" customHeight="1">
      <c r="A742" s="61"/>
      <c r="K742" s="62"/>
      <c r="L742" s="62"/>
      <c r="M742" s="62"/>
      <c r="N742" s="62"/>
    </row>
    <row r="743" ht="15.75" customHeight="1">
      <c r="A743" s="61"/>
      <c r="K743" s="62"/>
      <c r="L743" s="62"/>
      <c r="M743" s="62"/>
      <c r="N743" s="62"/>
    </row>
    <row r="744" ht="15.75" customHeight="1">
      <c r="A744" s="61"/>
      <c r="K744" s="62"/>
      <c r="L744" s="62"/>
      <c r="M744" s="62"/>
      <c r="N744" s="62"/>
    </row>
    <row r="745" ht="15.75" customHeight="1">
      <c r="A745" s="61"/>
      <c r="K745" s="62"/>
      <c r="L745" s="62"/>
      <c r="M745" s="62"/>
      <c r="N745" s="62"/>
    </row>
    <row r="746" ht="15.75" customHeight="1">
      <c r="A746" s="61"/>
      <c r="K746" s="62"/>
      <c r="L746" s="62"/>
      <c r="M746" s="62"/>
      <c r="N746" s="62"/>
    </row>
    <row r="747" ht="15.75" customHeight="1">
      <c r="A747" s="61"/>
      <c r="K747" s="62"/>
      <c r="L747" s="62"/>
      <c r="M747" s="62"/>
      <c r="N747" s="62"/>
    </row>
    <row r="748" ht="15.75" customHeight="1">
      <c r="A748" s="61"/>
      <c r="K748" s="62"/>
      <c r="L748" s="62"/>
      <c r="M748" s="62"/>
      <c r="N748" s="62"/>
    </row>
    <row r="749" ht="15.75" customHeight="1">
      <c r="A749" s="61"/>
      <c r="K749" s="62"/>
      <c r="L749" s="62"/>
      <c r="M749" s="62"/>
      <c r="N749" s="62"/>
    </row>
    <row r="750" ht="15.75" customHeight="1">
      <c r="A750" s="61"/>
      <c r="K750" s="62"/>
      <c r="L750" s="62"/>
      <c r="M750" s="62"/>
      <c r="N750" s="62"/>
    </row>
    <row r="751" ht="15.75" customHeight="1">
      <c r="A751" s="61"/>
      <c r="K751" s="62"/>
      <c r="L751" s="62"/>
      <c r="M751" s="62"/>
      <c r="N751" s="62"/>
    </row>
    <row r="752" ht="15.75" customHeight="1">
      <c r="A752" s="61"/>
      <c r="K752" s="62"/>
      <c r="L752" s="62"/>
      <c r="M752" s="62"/>
      <c r="N752" s="62"/>
    </row>
    <row r="753" ht="15.75" customHeight="1">
      <c r="A753" s="61"/>
      <c r="K753" s="62"/>
      <c r="L753" s="62"/>
      <c r="M753" s="62"/>
      <c r="N753" s="62"/>
    </row>
    <row r="754" ht="15.75" customHeight="1">
      <c r="A754" s="61"/>
      <c r="K754" s="62"/>
      <c r="L754" s="62"/>
      <c r="M754" s="62"/>
      <c r="N754" s="62"/>
    </row>
    <row r="755" ht="15.75" customHeight="1">
      <c r="A755" s="61"/>
      <c r="K755" s="62"/>
      <c r="L755" s="62"/>
      <c r="M755" s="62"/>
      <c r="N755" s="62"/>
    </row>
    <row r="756" ht="15.75" customHeight="1">
      <c r="A756" s="61"/>
      <c r="K756" s="62"/>
      <c r="L756" s="62"/>
      <c r="M756" s="62"/>
      <c r="N756" s="62"/>
    </row>
    <row r="757" ht="15.75" customHeight="1">
      <c r="A757" s="61"/>
      <c r="K757" s="62"/>
      <c r="L757" s="62"/>
      <c r="M757" s="62"/>
      <c r="N757" s="62"/>
    </row>
    <row r="758" ht="15.75" customHeight="1">
      <c r="A758" s="61"/>
      <c r="K758" s="62"/>
      <c r="L758" s="62"/>
      <c r="M758" s="62"/>
      <c r="N758" s="62"/>
    </row>
    <row r="759" ht="15.75" customHeight="1">
      <c r="A759" s="61"/>
      <c r="K759" s="62"/>
      <c r="L759" s="62"/>
      <c r="M759" s="62"/>
      <c r="N759" s="62"/>
    </row>
    <row r="760" ht="15.75" customHeight="1">
      <c r="A760" s="61"/>
      <c r="K760" s="62"/>
      <c r="L760" s="62"/>
      <c r="M760" s="62"/>
      <c r="N760" s="62"/>
    </row>
    <row r="761" ht="15.75" customHeight="1">
      <c r="A761" s="61"/>
      <c r="K761" s="62"/>
      <c r="L761" s="62"/>
      <c r="M761" s="62"/>
      <c r="N761" s="62"/>
    </row>
    <row r="762" ht="15.75" customHeight="1">
      <c r="A762" s="61"/>
      <c r="K762" s="62"/>
      <c r="L762" s="62"/>
      <c r="M762" s="62"/>
      <c r="N762" s="62"/>
    </row>
    <row r="763" ht="15.75" customHeight="1">
      <c r="A763" s="61"/>
      <c r="K763" s="62"/>
      <c r="L763" s="62"/>
      <c r="M763" s="62"/>
      <c r="N763" s="62"/>
    </row>
    <row r="764" ht="15.75" customHeight="1">
      <c r="A764" s="61"/>
      <c r="K764" s="62"/>
      <c r="L764" s="62"/>
      <c r="M764" s="62"/>
      <c r="N764" s="62"/>
    </row>
    <row r="765" ht="15.75" customHeight="1">
      <c r="A765" s="61"/>
      <c r="K765" s="62"/>
      <c r="L765" s="62"/>
      <c r="M765" s="62"/>
      <c r="N765" s="62"/>
    </row>
    <row r="766" ht="15.75" customHeight="1">
      <c r="A766" s="61"/>
      <c r="K766" s="62"/>
      <c r="L766" s="62"/>
      <c r="M766" s="62"/>
      <c r="N766" s="62"/>
    </row>
    <row r="767" ht="15.75" customHeight="1">
      <c r="A767" s="61"/>
      <c r="K767" s="62"/>
      <c r="L767" s="62"/>
      <c r="M767" s="62"/>
      <c r="N767" s="62"/>
    </row>
    <row r="768" ht="15.75" customHeight="1">
      <c r="A768" s="61"/>
      <c r="K768" s="62"/>
      <c r="L768" s="62"/>
      <c r="M768" s="62"/>
      <c r="N768" s="62"/>
    </row>
    <row r="769" ht="15.75" customHeight="1">
      <c r="A769" s="61"/>
      <c r="K769" s="62"/>
      <c r="L769" s="62"/>
      <c r="M769" s="62"/>
      <c r="N769" s="62"/>
    </row>
    <row r="770" ht="15.75" customHeight="1">
      <c r="A770" s="61"/>
      <c r="K770" s="62"/>
      <c r="L770" s="62"/>
      <c r="M770" s="62"/>
      <c r="N770" s="62"/>
    </row>
    <row r="771" ht="15.75" customHeight="1">
      <c r="A771" s="61"/>
      <c r="K771" s="62"/>
      <c r="L771" s="62"/>
      <c r="M771" s="62"/>
      <c r="N771" s="62"/>
    </row>
    <row r="772" ht="15.75" customHeight="1">
      <c r="A772" s="61"/>
      <c r="K772" s="62"/>
      <c r="L772" s="62"/>
      <c r="M772" s="62"/>
      <c r="N772" s="62"/>
    </row>
    <row r="773" ht="15.75" customHeight="1">
      <c r="A773" s="61"/>
      <c r="K773" s="62"/>
      <c r="L773" s="62"/>
      <c r="M773" s="62"/>
      <c r="N773" s="62"/>
    </row>
    <row r="774" ht="15.75" customHeight="1">
      <c r="A774" s="61"/>
      <c r="K774" s="62"/>
      <c r="L774" s="62"/>
      <c r="M774" s="62"/>
      <c r="N774" s="62"/>
    </row>
    <row r="775" ht="15.75" customHeight="1">
      <c r="A775" s="61"/>
      <c r="K775" s="62"/>
      <c r="L775" s="62"/>
      <c r="M775" s="62"/>
      <c r="N775" s="62"/>
    </row>
    <row r="776" ht="15.75" customHeight="1">
      <c r="A776" s="61"/>
      <c r="K776" s="62"/>
      <c r="L776" s="62"/>
      <c r="M776" s="62"/>
      <c r="N776" s="62"/>
    </row>
    <row r="777" ht="15.75" customHeight="1">
      <c r="A777" s="61"/>
      <c r="K777" s="62"/>
      <c r="L777" s="62"/>
      <c r="M777" s="62"/>
      <c r="N777" s="62"/>
    </row>
    <row r="778" ht="15.75" customHeight="1">
      <c r="A778" s="61"/>
      <c r="K778" s="62"/>
      <c r="L778" s="62"/>
      <c r="M778" s="62"/>
      <c r="N778" s="62"/>
    </row>
    <row r="779" ht="15.75" customHeight="1">
      <c r="A779" s="61"/>
      <c r="K779" s="62"/>
      <c r="L779" s="62"/>
      <c r="M779" s="62"/>
      <c r="N779" s="62"/>
    </row>
    <row r="780" ht="15.75" customHeight="1">
      <c r="A780" s="61"/>
      <c r="K780" s="62"/>
      <c r="L780" s="62"/>
      <c r="M780" s="62"/>
      <c r="N780" s="62"/>
    </row>
    <row r="781" ht="15.75" customHeight="1">
      <c r="A781" s="61"/>
      <c r="K781" s="62"/>
      <c r="L781" s="62"/>
      <c r="M781" s="62"/>
      <c r="N781" s="62"/>
    </row>
    <row r="782" ht="15.75" customHeight="1">
      <c r="A782" s="61"/>
      <c r="K782" s="62"/>
      <c r="L782" s="62"/>
      <c r="M782" s="62"/>
      <c r="N782" s="62"/>
    </row>
    <row r="783" ht="15.75" customHeight="1">
      <c r="A783" s="61"/>
      <c r="K783" s="62"/>
      <c r="L783" s="62"/>
      <c r="M783" s="62"/>
      <c r="N783" s="62"/>
    </row>
    <row r="784" ht="15.75" customHeight="1">
      <c r="A784" s="61"/>
      <c r="K784" s="62"/>
      <c r="L784" s="62"/>
      <c r="M784" s="62"/>
      <c r="N784" s="62"/>
    </row>
    <row r="785" ht="15.75" customHeight="1">
      <c r="A785" s="61"/>
      <c r="K785" s="62"/>
      <c r="L785" s="62"/>
      <c r="M785" s="62"/>
      <c r="N785" s="62"/>
    </row>
    <row r="786" ht="15.75" customHeight="1">
      <c r="A786" s="61"/>
      <c r="K786" s="62"/>
      <c r="L786" s="62"/>
      <c r="M786" s="62"/>
      <c r="N786" s="62"/>
    </row>
    <row r="787" ht="15.75" customHeight="1">
      <c r="A787" s="61"/>
      <c r="K787" s="62"/>
      <c r="L787" s="62"/>
      <c r="M787" s="62"/>
      <c r="N787" s="62"/>
    </row>
    <row r="788" ht="15.75" customHeight="1">
      <c r="A788" s="61"/>
      <c r="K788" s="62"/>
      <c r="L788" s="62"/>
      <c r="M788" s="62"/>
      <c r="N788" s="62"/>
    </row>
    <row r="789" ht="15.75" customHeight="1">
      <c r="A789" s="61"/>
      <c r="K789" s="62"/>
      <c r="L789" s="62"/>
      <c r="M789" s="62"/>
      <c r="N789" s="62"/>
    </row>
    <row r="790" ht="15.75" customHeight="1">
      <c r="A790" s="61"/>
      <c r="K790" s="62"/>
      <c r="L790" s="62"/>
      <c r="M790" s="62"/>
      <c r="N790" s="62"/>
    </row>
    <row r="791" ht="15.75" customHeight="1">
      <c r="A791" s="61"/>
      <c r="K791" s="62"/>
      <c r="L791" s="62"/>
      <c r="M791" s="62"/>
      <c r="N791" s="62"/>
    </row>
    <row r="792" ht="15.75" customHeight="1">
      <c r="A792" s="61"/>
      <c r="K792" s="62"/>
      <c r="L792" s="62"/>
      <c r="M792" s="62"/>
      <c r="N792" s="62"/>
    </row>
    <row r="793" ht="15.75" customHeight="1">
      <c r="A793" s="61"/>
      <c r="K793" s="62"/>
      <c r="L793" s="62"/>
      <c r="M793" s="62"/>
      <c r="N793" s="62"/>
    </row>
    <row r="794" ht="15.75" customHeight="1">
      <c r="A794" s="61"/>
      <c r="K794" s="62"/>
      <c r="L794" s="62"/>
      <c r="M794" s="62"/>
      <c r="N794" s="62"/>
    </row>
    <row r="795" ht="15.75" customHeight="1">
      <c r="A795" s="61"/>
      <c r="K795" s="62"/>
      <c r="L795" s="62"/>
      <c r="M795" s="62"/>
      <c r="N795" s="62"/>
    </row>
    <row r="796" ht="15.75" customHeight="1">
      <c r="A796" s="61"/>
      <c r="K796" s="62"/>
      <c r="L796" s="62"/>
      <c r="M796" s="62"/>
      <c r="N796" s="62"/>
    </row>
    <row r="797" ht="15.75" customHeight="1">
      <c r="A797" s="61"/>
      <c r="K797" s="62"/>
      <c r="L797" s="62"/>
      <c r="M797" s="62"/>
      <c r="N797" s="62"/>
    </row>
    <row r="798" ht="15.75" customHeight="1">
      <c r="A798" s="61"/>
      <c r="K798" s="62"/>
      <c r="L798" s="62"/>
      <c r="M798" s="62"/>
      <c r="N798" s="62"/>
    </row>
    <row r="799" ht="15.75" customHeight="1">
      <c r="A799" s="61"/>
      <c r="K799" s="62"/>
      <c r="L799" s="62"/>
      <c r="M799" s="62"/>
      <c r="N799" s="62"/>
    </row>
    <row r="800" ht="15.75" customHeight="1">
      <c r="A800" s="61"/>
      <c r="K800" s="62"/>
      <c r="L800" s="62"/>
      <c r="M800" s="62"/>
      <c r="N800" s="62"/>
    </row>
    <row r="801" ht="15.75" customHeight="1">
      <c r="A801" s="61"/>
      <c r="K801" s="62"/>
      <c r="L801" s="62"/>
      <c r="M801" s="62"/>
      <c r="N801" s="62"/>
    </row>
    <row r="802" ht="15.75" customHeight="1">
      <c r="A802" s="61"/>
      <c r="K802" s="62"/>
      <c r="L802" s="62"/>
      <c r="M802" s="62"/>
      <c r="N802" s="62"/>
    </row>
    <row r="803" ht="15.75" customHeight="1">
      <c r="A803" s="61"/>
      <c r="K803" s="62"/>
      <c r="L803" s="62"/>
      <c r="M803" s="62"/>
      <c r="N803" s="62"/>
    </row>
    <row r="804" ht="15.75" customHeight="1">
      <c r="A804" s="61"/>
      <c r="K804" s="62"/>
      <c r="L804" s="62"/>
      <c r="M804" s="62"/>
      <c r="N804" s="62"/>
    </row>
    <row r="805" ht="15.75" customHeight="1">
      <c r="A805" s="61"/>
      <c r="K805" s="62"/>
      <c r="L805" s="62"/>
      <c r="M805" s="62"/>
      <c r="N805" s="62"/>
    </row>
    <row r="806" ht="15.75" customHeight="1">
      <c r="A806" s="61"/>
      <c r="K806" s="62"/>
      <c r="L806" s="62"/>
      <c r="M806" s="62"/>
      <c r="N806" s="62"/>
    </row>
    <row r="807" ht="15.75" customHeight="1">
      <c r="A807" s="61"/>
      <c r="K807" s="62"/>
      <c r="L807" s="62"/>
      <c r="M807" s="62"/>
      <c r="N807" s="62"/>
    </row>
    <row r="808" ht="15.75" customHeight="1">
      <c r="A808" s="61"/>
      <c r="K808" s="62"/>
      <c r="L808" s="62"/>
      <c r="M808" s="62"/>
      <c r="N808" s="62"/>
    </row>
    <row r="809" ht="15.75" customHeight="1">
      <c r="A809" s="61"/>
      <c r="K809" s="62"/>
      <c r="L809" s="62"/>
      <c r="M809" s="62"/>
      <c r="N809" s="62"/>
    </row>
    <row r="810" ht="15.75" customHeight="1">
      <c r="A810" s="61"/>
      <c r="K810" s="62"/>
      <c r="L810" s="62"/>
      <c r="M810" s="62"/>
      <c r="N810" s="62"/>
    </row>
    <row r="811" ht="15.75" customHeight="1">
      <c r="A811" s="61"/>
      <c r="K811" s="62"/>
      <c r="L811" s="62"/>
      <c r="M811" s="62"/>
      <c r="N811" s="62"/>
    </row>
    <row r="812" ht="15.75" customHeight="1">
      <c r="A812" s="61"/>
      <c r="K812" s="62"/>
      <c r="L812" s="62"/>
      <c r="M812" s="62"/>
      <c r="N812" s="62"/>
    </row>
    <row r="813" ht="15.75" customHeight="1">
      <c r="A813" s="61"/>
      <c r="K813" s="62"/>
      <c r="L813" s="62"/>
      <c r="M813" s="62"/>
      <c r="N813" s="62"/>
    </row>
    <row r="814" ht="15.75" customHeight="1">
      <c r="A814" s="61"/>
      <c r="K814" s="62"/>
      <c r="L814" s="62"/>
      <c r="M814" s="62"/>
      <c r="N814" s="62"/>
    </row>
    <row r="815" ht="15.75" customHeight="1">
      <c r="A815" s="61"/>
      <c r="K815" s="62"/>
      <c r="L815" s="62"/>
      <c r="M815" s="62"/>
      <c r="N815" s="62"/>
    </row>
    <row r="816" ht="15.75" customHeight="1">
      <c r="A816" s="61"/>
      <c r="K816" s="62"/>
      <c r="L816" s="62"/>
      <c r="M816" s="62"/>
      <c r="N816" s="62"/>
    </row>
    <row r="817" ht="15.75" customHeight="1">
      <c r="A817" s="61"/>
      <c r="K817" s="62"/>
      <c r="L817" s="62"/>
      <c r="M817" s="62"/>
      <c r="N817" s="62"/>
    </row>
    <row r="818" ht="15.75" customHeight="1">
      <c r="A818" s="61"/>
      <c r="K818" s="62"/>
      <c r="L818" s="62"/>
      <c r="M818" s="62"/>
      <c r="N818" s="62"/>
    </row>
    <row r="819" ht="15.75" customHeight="1">
      <c r="A819" s="61"/>
      <c r="K819" s="62"/>
      <c r="L819" s="62"/>
      <c r="M819" s="62"/>
      <c r="N819" s="62"/>
    </row>
    <row r="820" ht="15.75" customHeight="1">
      <c r="A820" s="61"/>
      <c r="K820" s="62"/>
      <c r="L820" s="62"/>
      <c r="M820" s="62"/>
      <c r="N820" s="62"/>
    </row>
    <row r="821" ht="15.75" customHeight="1">
      <c r="A821" s="61"/>
      <c r="K821" s="62"/>
      <c r="L821" s="62"/>
      <c r="M821" s="62"/>
      <c r="N821" s="62"/>
    </row>
    <row r="822" ht="15.75" customHeight="1">
      <c r="A822" s="61"/>
      <c r="K822" s="62"/>
      <c r="L822" s="62"/>
      <c r="M822" s="62"/>
      <c r="N822" s="62"/>
    </row>
    <row r="823" ht="15.75" customHeight="1">
      <c r="A823" s="61"/>
      <c r="K823" s="62"/>
      <c r="L823" s="62"/>
      <c r="M823" s="62"/>
      <c r="N823" s="62"/>
    </row>
    <row r="824" ht="15.75" customHeight="1">
      <c r="A824" s="61"/>
      <c r="K824" s="62"/>
      <c r="L824" s="62"/>
      <c r="M824" s="62"/>
      <c r="N824" s="62"/>
    </row>
    <row r="825" ht="15.75" customHeight="1">
      <c r="A825" s="61"/>
      <c r="K825" s="62"/>
      <c r="L825" s="62"/>
      <c r="M825" s="62"/>
      <c r="N825" s="62"/>
    </row>
    <row r="826" ht="15.75" customHeight="1">
      <c r="A826" s="61"/>
      <c r="K826" s="62"/>
      <c r="L826" s="62"/>
      <c r="M826" s="62"/>
      <c r="N826" s="62"/>
    </row>
    <row r="827" ht="15.75" customHeight="1">
      <c r="A827" s="61"/>
      <c r="K827" s="62"/>
      <c r="L827" s="62"/>
      <c r="M827" s="62"/>
      <c r="N827" s="62"/>
    </row>
    <row r="828" ht="15.75" customHeight="1">
      <c r="A828" s="61"/>
      <c r="K828" s="62"/>
      <c r="L828" s="62"/>
      <c r="M828" s="62"/>
      <c r="N828" s="62"/>
    </row>
    <row r="829" ht="15.75" customHeight="1">
      <c r="A829" s="61"/>
      <c r="K829" s="62"/>
      <c r="L829" s="62"/>
      <c r="M829" s="62"/>
      <c r="N829" s="62"/>
    </row>
    <row r="830" ht="15.75" customHeight="1">
      <c r="A830" s="61"/>
      <c r="K830" s="62"/>
      <c r="L830" s="62"/>
      <c r="M830" s="62"/>
      <c r="N830" s="62"/>
    </row>
    <row r="831" ht="15.75" customHeight="1">
      <c r="A831" s="61"/>
      <c r="K831" s="62"/>
      <c r="L831" s="62"/>
      <c r="M831" s="62"/>
      <c r="N831" s="62"/>
    </row>
    <row r="832" ht="15.75" customHeight="1">
      <c r="A832" s="61"/>
      <c r="K832" s="62"/>
      <c r="L832" s="62"/>
      <c r="M832" s="62"/>
      <c r="N832" s="62"/>
    </row>
    <row r="833" ht="15.75" customHeight="1">
      <c r="A833" s="61"/>
      <c r="K833" s="62"/>
      <c r="L833" s="62"/>
      <c r="M833" s="62"/>
      <c r="N833" s="62"/>
    </row>
    <row r="834" ht="15.75" customHeight="1">
      <c r="A834" s="61"/>
      <c r="K834" s="62"/>
      <c r="L834" s="62"/>
      <c r="M834" s="62"/>
      <c r="N834" s="62"/>
    </row>
    <row r="835" ht="15.75" customHeight="1">
      <c r="A835" s="61"/>
      <c r="K835" s="62"/>
      <c r="L835" s="62"/>
      <c r="M835" s="62"/>
      <c r="N835" s="62"/>
    </row>
    <row r="836" ht="15.75" customHeight="1">
      <c r="A836" s="61"/>
      <c r="K836" s="62"/>
      <c r="L836" s="62"/>
      <c r="M836" s="62"/>
      <c r="N836" s="62"/>
    </row>
    <row r="837" ht="15.75" customHeight="1">
      <c r="A837" s="61"/>
      <c r="K837" s="62"/>
      <c r="L837" s="62"/>
      <c r="M837" s="62"/>
      <c r="N837" s="62"/>
    </row>
    <row r="838" ht="15.75" customHeight="1">
      <c r="A838" s="61"/>
      <c r="K838" s="62"/>
      <c r="L838" s="62"/>
      <c r="M838" s="62"/>
      <c r="N838" s="62"/>
    </row>
    <row r="839" ht="15.75" customHeight="1">
      <c r="A839" s="61"/>
      <c r="K839" s="62"/>
      <c r="L839" s="62"/>
      <c r="M839" s="62"/>
      <c r="N839" s="62"/>
    </row>
    <row r="840" ht="15.75" customHeight="1">
      <c r="A840" s="61"/>
      <c r="K840" s="62"/>
      <c r="L840" s="62"/>
      <c r="M840" s="62"/>
      <c r="N840" s="62"/>
    </row>
    <row r="841" ht="15.75" customHeight="1">
      <c r="A841" s="61"/>
      <c r="K841" s="62"/>
      <c r="L841" s="62"/>
      <c r="M841" s="62"/>
      <c r="N841" s="62"/>
    </row>
    <row r="842" ht="15.75" customHeight="1">
      <c r="A842" s="61"/>
      <c r="K842" s="62"/>
      <c r="L842" s="62"/>
      <c r="M842" s="62"/>
      <c r="N842" s="62"/>
    </row>
    <row r="843" ht="15.75" customHeight="1">
      <c r="A843" s="61"/>
      <c r="K843" s="62"/>
      <c r="L843" s="62"/>
      <c r="M843" s="62"/>
      <c r="N843" s="62"/>
    </row>
    <row r="844" ht="15.75" customHeight="1">
      <c r="A844" s="61"/>
      <c r="K844" s="62"/>
      <c r="L844" s="62"/>
      <c r="M844" s="62"/>
      <c r="N844" s="62"/>
    </row>
    <row r="845" ht="15.75" customHeight="1">
      <c r="A845" s="61"/>
      <c r="K845" s="62"/>
      <c r="L845" s="62"/>
      <c r="M845" s="62"/>
      <c r="N845" s="62"/>
    </row>
    <row r="846" ht="15.75" customHeight="1">
      <c r="A846" s="61"/>
      <c r="K846" s="62"/>
      <c r="L846" s="62"/>
      <c r="M846" s="62"/>
      <c r="N846" s="62"/>
    </row>
    <row r="847" ht="15.75" customHeight="1">
      <c r="A847" s="61"/>
      <c r="K847" s="62"/>
      <c r="L847" s="62"/>
      <c r="M847" s="62"/>
      <c r="N847" s="62"/>
    </row>
    <row r="848" ht="15.75" customHeight="1">
      <c r="A848" s="61"/>
      <c r="K848" s="62"/>
      <c r="L848" s="62"/>
      <c r="M848" s="62"/>
      <c r="N848" s="62"/>
    </row>
    <row r="849" ht="15.75" customHeight="1">
      <c r="A849" s="61"/>
      <c r="K849" s="62"/>
      <c r="L849" s="62"/>
      <c r="M849" s="62"/>
      <c r="N849" s="62"/>
    </row>
    <row r="850" ht="15.75" customHeight="1">
      <c r="A850" s="61"/>
      <c r="K850" s="62"/>
      <c r="L850" s="62"/>
      <c r="M850" s="62"/>
      <c r="N850" s="62"/>
    </row>
    <row r="851" ht="15.75" customHeight="1">
      <c r="A851" s="61"/>
      <c r="K851" s="62"/>
      <c r="L851" s="62"/>
      <c r="M851" s="62"/>
      <c r="N851" s="62"/>
    </row>
    <row r="852" ht="15.75" customHeight="1">
      <c r="A852" s="61"/>
      <c r="K852" s="62"/>
      <c r="L852" s="62"/>
      <c r="M852" s="62"/>
      <c r="N852" s="62"/>
    </row>
    <row r="853" ht="15.75" customHeight="1">
      <c r="A853" s="61"/>
      <c r="K853" s="62"/>
      <c r="L853" s="62"/>
      <c r="M853" s="62"/>
      <c r="N853" s="62"/>
    </row>
    <row r="854" ht="15.75" customHeight="1">
      <c r="A854" s="61"/>
      <c r="K854" s="62"/>
      <c r="L854" s="62"/>
      <c r="M854" s="62"/>
      <c r="N854" s="62"/>
    </row>
    <row r="855" ht="15.75" customHeight="1">
      <c r="A855" s="61"/>
      <c r="K855" s="62"/>
      <c r="L855" s="62"/>
      <c r="M855" s="62"/>
      <c r="N855" s="62"/>
    </row>
    <row r="856" ht="15.75" customHeight="1">
      <c r="A856" s="61"/>
      <c r="K856" s="62"/>
      <c r="L856" s="62"/>
      <c r="M856" s="62"/>
      <c r="N856" s="62"/>
    </row>
    <row r="857" ht="15.75" customHeight="1">
      <c r="A857" s="61"/>
      <c r="K857" s="62"/>
      <c r="L857" s="62"/>
      <c r="M857" s="62"/>
      <c r="N857" s="62"/>
    </row>
    <row r="858" ht="15.75" customHeight="1">
      <c r="A858" s="61"/>
      <c r="K858" s="62"/>
      <c r="L858" s="62"/>
      <c r="M858" s="62"/>
      <c r="N858" s="62"/>
    </row>
    <row r="859" ht="15.75" customHeight="1">
      <c r="A859" s="61"/>
      <c r="K859" s="62"/>
      <c r="L859" s="62"/>
      <c r="M859" s="62"/>
      <c r="N859" s="62"/>
    </row>
    <row r="860" ht="15.75" customHeight="1">
      <c r="A860" s="61"/>
      <c r="K860" s="62"/>
      <c r="L860" s="62"/>
      <c r="M860" s="62"/>
      <c r="N860" s="62"/>
    </row>
    <row r="861" ht="15.75" customHeight="1">
      <c r="A861" s="61"/>
      <c r="K861" s="62"/>
      <c r="L861" s="62"/>
      <c r="M861" s="62"/>
      <c r="N861" s="62"/>
    </row>
    <row r="862" ht="15.75" customHeight="1">
      <c r="A862" s="61"/>
      <c r="K862" s="62"/>
      <c r="L862" s="62"/>
      <c r="M862" s="62"/>
      <c r="N862" s="62"/>
    </row>
    <row r="863" ht="15.75" customHeight="1">
      <c r="A863" s="61"/>
      <c r="K863" s="62"/>
      <c r="L863" s="62"/>
      <c r="M863" s="62"/>
      <c r="N863" s="62"/>
    </row>
    <row r="864" ht="15.75" customHeight="1">
      <c r="A864" s="61"/>
      <c r="K864" s="62"/>
      <c r="L864" s="62"/>
      <c r="M864" s="62"/>
      <c r="N864" s="62"/>
    </row>
    <row r="865" ht="15.75" customHeight="1">
      <c r="A865" s="61"/>
      <c r="K865" s="62"/>
      <c r="L865" s="62"/>
      <c r="M865" s="62"/>
      <c r="N865" s="62"/>
    </row>
    <row r="866" ht="15.75" customHeight="1">
      <c r="A866" s="61"/>
      <c r="K866" s="62"/>
      <c r="L866" s="62"/>
      <c r="M866" s="62"/>
      <c r="N866" s="62"/>
    </row>
    <row r="867" ht="15.75" customHeight="1">
      <c r="A867" s="61"/>
      <c r="K867" s="62"/>
      <c r="L867" s="62"/>
      <c r="M867" s="62"/>
      <c r="N867" s="62"/>
    </row>
    <row r="868" ht="15.75" customHeight="1">
      <c r="A868" s="61"/>
      <c r="K868" s="62"/>
      <c r="L868" s="62"/>
      <c r="M868" s="62"/>
      <c r="N868" s="62"/>
    </row>
    <row r="869" ht="15.75" customHeight="1">
      <c r="A869" s="61"/>
      <c r="K869" s="62"/>
      <c r="L869" s="62"/>
      <c r="M869" s="62"/>
      <c r="N869" s="62"/>
    </row>
    <row r="870" ht="15.75" customHeight="1">
      <c r="A870" s="61"/>
      <c r="K870" s="62"/>
      <c r="L870" s="62"/>
      <c r="M870" s="62"/>
      <c r="N870" s="62"/>
    </row>
    <row r="871" ht="15.75" customHeight="1">
      <c r="A871" s="61"/>
      <c r="K871" s="62"/>
      <c r="L871" s="62"/>
      <c r="M871" s="62"/>
      <c r="N871" s="62"/>
    </row>
    <row r="872" ht="15.75" customHeight="1">
      <c r="A872" s="61"/>
      <c r="K872" s="62"/>
      <c r="L872" s="62"/>
      <c r="M872" s="62"/>
      <c r="N872" s="62"/>
    </row>
    <row r="873" ht="15.75" customHeight="1">
      <c r="A873" s="61"/>
      <c r="K873" s="62"/>
      <c r="L873" s="62"/>
      <c r="M873" s="62"/>
      <c r="N873" s="62"/>
    </row>
    <row r="874" ht="15.75" customHeight="1">
      <c r="A874" s="61"/>
      <c r="K874" s="62"/>
      <c r="L874" s="62"/>
      <c r="M874" s="62"/>
      <c r="N874" s="62"/>
    </row>
    <row r="875" ht="15.75" customHeight="1">
      <c r="A875" s="61"/>
      <c r="K875" s="62"/>
      <c r="L875" s="62"/>
      <c r="M875" s="62"/>
      <c r="N875" s="62"/>
    </row>
    <row r="876" ht="15.75" customHeight="1">
      <c r="A876" s="61"/>
      <c r="K876" s="62"/>
      <c r="L876" s="62"/>
      <c r="M876" s="62"/>
      <c r="N876" s="62"/>
    </row>
    <row r="877" ht="15.75" customHeight="1">
      <c r="A877" s="61"/>
      <c r="K877" s="62"/>
      <c r="L877" s="62"/>
      <c r="M877" s="62"/>
      <c r="N877" s="62"/>
    </row>
    <row r="878" ht="15.75" customHeight="1">
      <c r="A878" s="61"/>
      <c r="K878" s="62"/>
      <c r="L878" s="62"/>
      <c r="M878" s="62"/>
      <c r="N878" s="62"/>
    </row>
    <row r="879" ht="15.75" customHeight="1">
      <c r="A879" s="61"/>
      <c r="K879" s="62"/>
      <c r="L879" s="62"/>
      <c r="M879" s="62"/>
      <c r="N879" s="62"/>
    </row>
    <row r="880" ht="15.75" customHeight="1">
      <c r="A880" s="61"/>
      <c r="K880" s="62"/>
      <c r="L880" s="62"/>
      <c r="M880" s="62"/>
      <c r="N880" s="62"/>
    </row>
    <row r="881" ht="15.75" customHeight="1">
      <c r="A881" s="61"/>
      <c r="K881" s="62"/>
      <c r="L881" s="62"/>
      <c r="M881" s="62"/>
      <c r="N881" s="62"/>
    </row>
    <row r="882" ht="15.75" customHeight="1">
      <c r="A882" s="61"/>
      <c r="K882" s="62"/>
      <c r="L882" s="62"/>
      <c r="M882" s="62"/>
      <c r="N882" s="62"/>
    </row>
    <row r="883" ht="15.75" customHeight="1">
      <c r="A883" s="61"/>
      <c r="K883" s="62"/>
      <c r="L883" s="62"/>
      <c r="M883" s="62"/>
      <c r="N883" s="62"/>
    </row>
    <row r="884" ht="15.75" customHeight="1">
      <c r="A884" s="61"/>
      <c r="K884" s="62"/>
      <c r="L884" s="62"/>
      <c r="M884" s="62"/>
      <c r="N884" s="62"/>
    </row>
    <row r="885" ht="15.75" customHeight="1">
      <c r="A885" s="61"/>
      <c r="K885" s="62"/>
      <c r="L885" s="62"/>
      <c r="M885" s="62"/>
      <c r="N885" s="62"/>
    </row>
    <row r="886" ht="15.75" customHeight="1">
      <c r="A886" s="61"/>
      <c r="K886" s="62"/>
      <c r="L886" s="62"/>
      <c r="M886" s="62"/>
      <c r="N886" s="62"/>
    </row>
    <row r="887" ht="15.75" customHeight="1">
      <c r="A887" s="61"/>
      <c r="K887" s="62"/>
      <c r="L887" s="62"/>
      <c r="M887" s="62"/>
      <c r="N887" s="62"/>
    </row>
    <row r="888" ht="15.75" customHeight="1">
      <c r="A888" s="61"/>
      <c r="K888" s="62"/>
      <c r="L888" s="62"/>
      <c r="M888" s="62"/>
      <c r="N888" s="62"/>
    </row>
    <row r="889" ht="15.75" customHeight="1">
      <c r="A889" s="61"/>
      <c r="K889" s="62"/>
      <c r="L889" s="62"/>
      <c r="M889" s="62"/>
      <c r="N889" s="62"/>
    </row>
    <row r="890" ht="15.75" customHeight="1">
      <c r="A890" s="61"/>
      <c r="K890" s="62"/>
      <c r="L890" s="62"/>
      <c r="M890" s="62"/>
      <c r="N890" s="62"/>
    </row>
    <row r="891" ht="15.75" customHeight="1">
      <c r="A891" s="61"/>
      <c r="K891" s="62"/>
      <c r="L891" s="62"/>
      <c r="M891" s="62"/>
      <c r="N891" s="62"/>
    </row>
    <row r="892" ht="15.75" customHeight="1">
      <c r="A892" s="61"/>
      <c r="K892" s="62"/>
      <c r="L892" s="62"/>
      <c r="M892" s="62"/>
      <c r="N892" s="62"/>
    </row>
    <row r="893" ht="15.75" customHeight="1">
      <c r="A893" s="61"/>
      <c r="K893" s="62"/>
      <c r="L893" s="62"/>
      <c r="M893" s="62"/>
      <c r="N893" s="62"/>
    </row>
    <row r="894" ht="15.75" customHeight="1">
      <c r="A894" s="61"/>
      <c r="K894" s="62"/>
      <c r="L894" s="62"/>
      <c r="M894" s="62"/>
      <c r="N894" s="62"/>
    </row>
    <row r="895" ht="15.75" customHeight="1">
      <c r="A895" s="61"/>
      <c r="K895" s="62"/>
      <c r="L895" s="62"/>
      <c r="M895" s="62"/>
      <c r="N895" s="62"/>
    </row>
    <row r="896" ht="15.75" customHeight="1">
      <c r="A896" s="61"/>
      <c r="K896" s="62"/>
      <c r="L896" s="62"/>
      <c r="M896" s="62"/>
      <c r="N896" s="62"/>
    </row>
    <row r="897" ht="15.75" customHeight="1">
      <c r="A897" s="61"/>
      <c r="K897" s="62"/>
      <c r="L897" s="62"/>
      <c r="M897" s="62"/>
      <c r="N897" s="62"/>
    </row>
    <row r="898" ht="15.75" customHeight="1">
      <c r="A898" s="61"/>
      <c r="K898" s="62"/>
      <c r="L898" s="62"/>
      <c r="M898" s="62"/>
      <c r="N898" s="62"/>
    </row>
    <row r="899" ht="15.75" customHeight="1">
      <c r="A899" s="61"/>
      <c r="K899" s="62"/>
      <c r="L899" s="62"/>
      <c r="M899" s="62"/>
      <c r="N899" s="62"/>
    </row>
    <row r="900" ht="15.75" customHeight="1">
      <c r="A900" s="61"/>
      <c r="K900" s="62"/>
      <c r="L900" s="62"/>
      <c r="M900" s="62"/>
      <c r="N900" s="62"/>
    </row>
    <row r="901" ht="15.75" customHeight="1">
      <c r="A901" s="61"/>
      <c r="K901" s="62"/>
      <c r="L901" s="62"/>
      <c r="M901" s="62"/>
      <c r="N901" s="62"/>
    </row>
    <row r="902" ht="15.75" customHeight="1">
      <c r="A902" s="61"/>
      <c r="K902" s="62"/>
      <c r="L902" s="62"/>
      <c r="M902" s="62"/>
      <c r="N902" s="62"/>
    </row>
    <row r="903" ht="15.75" customHeight="1">
      <c r="A903" s="61"/>
      <c r="K903" s="62"/>
      <c r="L903" s="62"/>
      <c r="M903" s="62"/>
      <c r="N903" s="62"/>
    </row>
    <row r="904" ht="15.75" customHeight="1">
      <c r="A904" s="61"/>
      <c r="K904" s="62"/>
      <c r="L904" s="62"/>
      <c r="M904" s="62"/>
      <c r="N904" s="62"/>
    </row>
    <row r="905" ht="15.75" customHeight="1">
      <c r="A905" s="61"/>
      <c r="K905" s="62"/>
      <c r="L905" s="62"/>
      <c r="M905" s="62"/>
      <c r="N905" s="62"/>
    </row>
    <row r="906" ht="15.75" customHeight="1">
      <c r="A906" s="61"/>
      <c r="K906" s="62"/>
      <c r="L906" s="62"/>
      <c r="M906" s="62"/>
      <c r="N906" s="62"/>
    </row>
    <row r="907" ht="15.75" customHeight="1">
      <c r="A907" s="61"/>
      <c r="K907" s="62"/>
      <c r="L907" s="62"/>
      <c r="M907" s="62"/>
      <c r="N907" s="62"/>
    </row>
    <row r="908" ht="15.75" customHeight="1">
      <c r="A908" s="61"/>
      <c r="K908" s="62"/>
      <c r="L908" s="62"/>
      <c r="M908" s="62"/>
      <c r="N908" s="62"/>
    </row>
    <row r="909" ht="15.75" customHeight="1">
      <c r="A909" s="61"/>
      <c r="K909" s="62"/>
      <c r="L909" s="62"/>
      <c r="M909" s="62"/>
      <c r="N909" s="62"/>
    </row>
    <row r="910" ht="15.75" customHeight="1">
      <c r="A910" s="61"/>
      <c r="K910" s="62"/>
      <c r="L910" s="62"/>
      <c r="M910" s="62"/>
      <c r="N910" s="62"/>
    </row>
    <row r="911" ht="15.75" customHeight="1">
      <c r="A911" s="61"/>
      <c r="K911" s="62"/>
      <c r="L911" s="62"/>
      <c r="M911" s="62"/>
      <c r="N911" s="62"/>
    </row>
    <row r="912" ht="15.75" customHeight="1">
      <c r="A912" s="61"/>
      <c r="K912" s="62"/>
      <c r="L912" s="62"/>
      <c r="M912" s="62"/>
      <c r="N912" s="62"/>
    </row>
    <row r="913" ht="15.75" customHeight="1">
      <c r="A913" s="61"/>
      <c r="K913" s="62"/>
      <c r="L913" s="62"/>
      <c r="M913" s="62"/>
      <c r="N913" s="62"/>
    </row>
    <row r="914" ht="15.75" customHeight="1">
      <c r="A914" s="61"/>
      <c r="K914" s="62"/>
      <c r="L914" s="62"/>
      <c r="M914" s="62"/>
      <c r="N914" s="62"/>
    </row>
    <row r="915" ht="15.75" customHeight="1">
      <c r="A915" s="61"/>
      <c r="K915" s="62"/>
      <c r="L915" s="62"/>
      <c r="M915" s="62"/>
      <c r="N915" s="62"/>
    </row>
    <row r="916" ht="15.75" customHeight="1">
      <c r="A916" s="61"/>
      <c r="K916" s="62"/>
      <c r="L916" s="62"/>
      <c r="M916" s="62"/>
      <c r="N916" s="62"/>
    </row>
    <row r="917" ht="15.75" customHeight="1">
      <c r="A917" s="61"/>
      <c r="K917" s="62"/>
      <c r="L917" s="62"/>
      <c r="M917" s="62"/>
      <c r="N917" s="62"/>
    </row>
    <row r="918" ht="15.75" customHeight="1">
      <c r="A918" s="61"/>
      <c r="K918" s="62"/>
      <c r="L918" s="62"/>
      <c r="M918" s="62"/>
      <c r="N918" s="62"/>
    </row>
    <row r="919" ht="15.75" customHeight="1">
      <c r="A919" s="61"/>
      <c r="K919" s="62"/>
      <c r="L919" s="62"/>
      <c r="M919" s="62"/>
      <c r="N919" s="62"/>
    </row>
    <row r="920" ht="15.75" customHeight="1">
      <c r="A920" s="61"/>
      <c r="K920" s="62"/>
      <c r="L920" s="62"/>
      <c r="M920" s="62"/>
      <c r="N920" s="62"/>
    </row>
    <row r="921" ht="15.75" customHeight="1">
      <c r="A921" s="61"/>
      <c r="K921" s="62"/>
      <c r="L921" s="62"/>
      <c r="M921" s="62"/>
      <c r="N921" s="62"/>
    </row>
    <row r="922" ht="15.75" customHeight="1">
      <c r="A922" s="61"/>
      <c r="K922" s="62"/>
      <c r="L922" s="62"/>
      <c r="M922" s="62"/>
      <c r="N922" s="62"/>
    </row>
    <row r="923" ht="15.75" customHeight="1">
      <c r="A923" s="61"/>
      <c r="K923" s="62"/>
      <c r="L923" s="62"/>
      <c r="M923" s="62"/>
      <c r="N923" s="62"/>
    </row>
    <row r="924" ht="15.75" customHeight="1">
      <c r="A924" s="61"/>
      <c r="K924" s="62"/>
      <c r="L924" s="62"/>
      <c r="M924" s="62"/>
      <c r="N924" s="62"/>
    </row>
    <row r="925" ht="15.75" customHeight="1">
      <c r="A925" s="61"/>
      <c r="K925" s="62"/>
      <c r="L925" s="62"/>
      <c r="M925" s="62"/>
      <c r="N925" s="62"/>
    </row>
    <row r="926" ht="15.75" customHeight="1">
      <c r="A926" s="61"/>
      <c r="K926" s="62"/>
      <c r="L926" s="62"/>
      <c r="M926" s="62"/>
      <c r="N926" s="62"/>
    </row>
    <row r="927" ht="15.75" customHeight="1">
      <c r="A927" s="61"/>
      <c r="K927" s="62"/>
      <c r="L927" s="62"/>
      <c r="M927" s="62"/>
      <c r="N927" s="62"/>
    </row>
    <row r="928" ht="15.75" customHeight="1">
      <c r="A928" s="61"/>
      <c r="K928" s="62"/>
      <c r="L928" s="62"/>
      <c r="M928" s="62"/>
      <c r="N928" s="62"/>
    </row>
    <row r="929" ht="15.75" customHeight="1">
      <c r="A929" s="61"/>
      <c r="K929" s="62"/>
      <c r="L929" s="62"/>
      <c r="M929" s="62"/>
      <c r="N929" s="62"/>
    </row>
    <row r="930" ht="15.75" customHeight="1">
      <c r="A930" s="61"/>
      <c r="K930" s="62"/>
      <c r="L930" s="62"/>
      <c r="M930" s="62"/>
      <c r="N930" s="62"/>
    </row>
    <row r="931" ht="15.75" customHeight="1">
      <c r="A931" s="61"/>
      <c r="K931" s="62"/>
      <c r="L931" s="62"/>
      <c r="M931" s="62"/>
      <c r="N931" s="62"/>
    </row>
    <row r="932" ht="15.75" customHeight="1">
      <c r="A932" s="61"/>
      <c r="K932" s="62"/>
      <c r="L932" s="62"/>
      <c r="M932" s="62"/>
      <c r="N932" s="62"/>
    </row>
    <row r="933" ht="15.75" customHeight="1">
      <c r="A933" s="61"/>
      <c r="K933" s="62"/>
      <c r="L933" s="62"/>
      <c r="M933" s="62"/>
      <c r="N933" s="62"/>
    </row>
    <row r="934" ht="15.75" customHeight="1">
      <c r="A934" s="61"/>
      <c r="K934" s="62"/>
      <c r="L934" s="62"/>
      <c r="M934" s="62"/>
      <c r="N934" s="62"/>
    </row>
    <row r="935" ht="15.75" customHeight="1">
      <c r="A935" s="61"/>
      <c r="K935" s="62"/>
      <c r="L935" s="62"/>
      <c r="M935" s="62"/>
      <c r="N935" s="62"/>
    </row>
    <row r="936" ht="15.75" customHeight="1">
      <c r="A936" s="61"/>
      <c r="K936" s="62"/>
      <c r="L936" s="62"/>
      <c r="M936" s="62"/>
      <c r="N936" s="62"/>
    </row>
    <row r="937" ht="15.75" customHeight="1">
      <c r="A937" s="61"/>
      <c r="K937" s="62"/>
      <c r="L937" s="62"/>
      <c r="M937" s="62"/>
      <c r="N937" s="62"/>
    </row>
    <row r="938" ht="15.75" customHeight="1">
      <c r="A938" s="61"/>
      <c r="K938" s="62"/>
      <c r="L938" s="62"/>
      <c r="M938" s="62"/>
      <c r="N938" s="62"/>
    </row>
    <row r="939" ht="15.75" customHeight="1">
      <c r="A939" s="61"/>
      <c r="K939" s="62"/>
      <c r="L939" s="62"/>
      <c r="M939" s="62"/>
      <c r="N939" s="62"/>
    </row>
    <row r="940" ht="15.75" customHeight="1">
      <c r="A940" s="61"/>
      <c r="K940" s="62"/>
      <c r="L940" s="62"/>
      <c r="M940" s="62"/>
      <c r="N940" s="62"/>
    </row>
    <row r="941" ht="15.75" customHeight="1">
      <c r="A941" s="61"/>
      <c r="K941" s="62"/>
      <c r="L941" s="62"/>
      <c r="M941" s="62"/>
      <c r="N941" s="62"/>
    </row>
    <row r="942" ht="15.75" customHeight="1">
      <c r="A942" s="61"/>
      <c r="K942" s="62"/>
      <c r="L942" s="62"/>
      <c r="M942" s="62"/>
      <c r="N942" s="62"/>
    </row>
    <row r="943" ht="15.75" customHeight="1">
      <c r="A943" s="61"/>
      <c r="K943" s="62"/>
      <c r="L943" s="62"/>
      <c r="M943" s="62"/>
      <c r="N943" s="62"/>
    </row>
    <row r="944" ht="15.75" customHeight="1">
      <c r="A944" s="61"/>
      <c r="K944" s="62"/>
      <c r="L944" s="62"/>
      <c r="M944" s="62"/>
      <c r="N944" s="62"/>
    </row>
    <row r="945" ht="15.75" customHeight="1">
      <c r="A945" s="61"/>
      <c r="K945" s="62"/>
      <c r="L945" s="62"/>
      <c r="M945" s="62"/>
      <c r="N945" s="62"/>
    </row>
    <row r="946" ht="15.75" customHeight="1">
      <c r="A946" s="61"/>
      <c r="K946" s="62"/>
      <c r="L946" s="62"/>
      <c r="M946" s="62"/>
      <c r="N946" s="62"/>
    </row>
    <row r="947" ht="15.75" customHeight="1">
      <c r="A947" s="61"/>
      <c r="K947" s="62"/>
      <c r="L947" s="62"/>
      <c r="M947" s="62"/>
      <c r="N947" s="62"/>
    </row>
    <row r="948" ht="15.75" customHeight="1">
      <c r="A948" s="61"/>
      <c r="K948" s="62"/>
      <c r="L948" s="62"/>
      <c r="M948" s="62"/>
      <c r="N948" s="62"/>
    </row>
    <row r="949" ht="15.75" customHeight="1">
      <c r="A949" s="61"/>
      <c r="K949" s="62"/>
      <c r="L949" s="62"/>
      <c r="M949" s="62"/>
      <c r="N949" s="62"/>
    </row>
    <row r="950" ht="15.75" customHeight="1">
      <c r="A950" s="61"/>
      <c r="K950" s="62"/>
      <c r="L950" s="62"/>
      <c r="M950" s="62"/>
      <c r="N950" s="62"/>
    </row>
    <row r="951" ht="15.75" customHeight="1">
      <c r="A951" s="61"/>
      <c r="K951" s="62"/>
      <c r="L951" s="62"/>
      <c r="M951" s="62"/>
      <c r="N951" s="62"/>
    </row>
    <row r="952" ht="15.75" customHeight="1">
      <c r="A952" s="61"/>
      <c r="K952" s="62"/>
      <c r="L952" s="62"/>
      <c r="M952" s="62"/>
      <c r="N952" s="62"/>
    </row>
    <row r="953" ht="15.75" customHeight="1">
      <c r="A953" s="61"/>
      <c r="K953" s="62"/>
      <c r="L953" s="62"/>
      <c r="M953" s="62"/>
      <c r="N953" s="62"/>
    </row>
    <row r="954" ht="15.75" customHeight="1">
      <c r="A954" s="61"/>
      <c r="K954" s="62"/>
      <c r="L954" s="62"/>
      <c r="M954" s="62"/>
      <c r="N954" s="62"/>
    </row>
    <row r="955" ht="15.75" customHeight="1">
      <c r="A955" s="61"/>
      <c r="K955" s="62"/>
      <c r="L955" s="62"/>
      <c r="M955" s="62"/>
      <c r="N955" s="62"/>
    </row>
    <row r="956" ht="15.75" customHeight="1">
      <c r="A956" s="61"/>
      <c r="K956" s="62"/>
      <c r="L956" s="62"/>
      <c r="M956" s="62"/>
      <c r="N956" s="62"/>
    </row>
    <row r="957" ht="15.75" customHeight="1">
      <c r="A957" s="61"/>
      <c r="K957" s="62"/>
      <c r="L957" s="62"/>
      <c r="M957" s="62"/>
      <c r="N957" s="62"/>
    </row>
    <row r="958" ht="15.75" customHeight="1">
      <c r="A958" s="61"/>
      <c r="K958" s="62"/>
      <c r="L958" s="62"/>
      <c r="M958" s="62"/>
      <c r="N958" s="62"/>
    </row>
    <row r="959" ht="15.75" customHeight="1">
      <c r="A959" s="61"/>
      <c r="K959" s="62"/>
      <c r="L959" s="62"/>
      <c r="M959" s="62"/>
      <c r="N959" s="62"/>
    </row>
    <row r="960" ht="15.75" customHeight="1">
      <c r="A960" s="61"/>
      <c r="K960" s="62"/>
      <c r="L960" s="62"/>
      <c r="M960" s="62"/>
      <c r="N960" s="62"/>
    </row>
    <row r="961" ht="15.75" customHeight="1">
      <c r="A961" s="61"/>
      <c r="K961" s="62"/>
      <c r="L961" s="62"/>
      <c r="M961" s="62"/>
      <c r="N961" s="62"/>
    </row>
    <row r="962" ht="15.75" customHeight="1">
      <c r="A962" s="61"/>
      <c r="K962" s="62"/>
      <c r="L962" s="62"/>
      <c r="M962" s="62"/>
      <c r="N962" s="62"/>
    </row>
    <row r="963" ht="15.75" customHeight="1">
      <c r="A963" s="61"/>
      <c r="K963" s="62"/>
      <c r="L963" s="62"/>
      <c r="M963" s="62"/>
      <c r="N963" s="62"/>
    </row>
    <row r="964" ht="15.75" customHeight="1">
      <c r="A964" s="61"/>
      <c r="K964" s="62"/>
      <c r="L964" s="62"/>
      <c r="M964" s="62"/>
      <c r="N964" s="62"/>
    </row>
    <row r="965" ht="15.75" customHeight="1">
      <c r="A965" s="61"/>
      <c r="K965" s="62"/>
      <c r="L965" s="62"/>
      <c r="M965" s="62"/>
      <c r="N965" s="62"/>
    </row>
    <row r="966" ht="15.75" customHeight="1">
      <c r="A966" s="61"/>
      <c r="K966" s="62"/>
      <c r="L966" s="62"/>
      <c r="M966" s="62"/>
      <c r="N966" s="62"/>
    </row>
    <row r="967" ht="15.75" customHeight="1">
      <c r="A967" s="61"/>
      <c r="K967" s="62"/>
      <c r="L967" s="62"/>
      <c r="M967" s="62"/>
      <c r="N967" s="62"/>
    </row>
    <row r="968" ht="15.75" customHeight="1">
      <c r="A968" s="61"/>
      <c r="K968" s="62"/>
      <c r="L968" s="62"/>
      <c r="M968" s="62"/>
      <c r="N968" s="62"/>
    </row>
    <row r="969" ht="15.75" customHeight="1">
      <c r="A969" s="61"/>
      <c r="K969" s="62"/>
      <c r="L969" s="62"/>
      <c r="M969" s="62"/>
      <c r="N969" s="62"/>
    </row>
    <row r="970" ht="15.75" customHeight="1">
      <c r="A970" s="61"/>
      <c r="K970" s="62"/>
      <c r="L970" s="62"/>
      <c r="M970" s="62"/>
      <c r="N970" s="62"/>
    </row>
    <row r="971" ht="15.75" customHeight="1">
      <c r="A971" s="61"/>
      <c r="K971" s="62"/>
      <c r="L971" s="62"/>
      <c r="M971" s="62"/>
      <c r="N971" s="62"/>
    </row>
    <row r="972" ht="15.75" customHeight="1">
      <c r="A972" s="61"/>
      <c r="K972" s="62"/>
      <c r="L972" s="62"/>
      <c r="M972" s="62"/>
      <c r="N972" s="62"/>
    </row>
    <row r="973" ht="15.75" customHeight="1">
      <c r="A973" s="61"/>
      <c r="K973" s="62"/>
      <c r="L973" s="62"/>
      <c r="M973" s="62"/>
      <c r="N973" s="62"/>
    </row>
    <row r="974" ht="15.75" customHeight="1">
      <c r="A974" s="61"/>
      <c r="K974" s="62"/>
      <c r="L974" s="62"/>
      <c r="M974" s="62"/>
      <c r="N974" s="62"/>
    </row>
    <row r="975" ht="15.75" customHeight="1">
      <c r="A975" s="61"/>
      <c r="K975" s="62"/>
      <c r="L975" s="62"/>
      <c r="M975" s="62"/>
      <c r="N975" s="62"/>
    </row>
    <row r="976" ht="15.75" customHeight="1">
      <c r="A976" s="61"/>
      <c r="K976" s="62"/>
      <c r="L976" s="62"/>
      <c r="M976" s="62"/>
      <c r="N976" s="62"/>
    </row>
    <row r="977" ht="15.75" customHeight="1">
      <c r="A977" s="61"/>
      <c r="K977" s="62"/>
      <c r="L977" s="62"/>
      <c r="M977" s="62"/>
      <c r="N977" s="62"/>
    </row>
    <row r="978" ht="15.75" customHeight="1">
      <c r="A978" s="61"/>
      <c r="K978" s="62"/>
      <c r="L978" s="62"/>
      <c r="M978" s="62"/>
      <c r="N978" s="62"/>
    </row>
    <row r="979" ht="15.75" customHeight="1">
      <c r="A979" s="61"/>
      <c r="K979" s="62"/>
      <c r="L979" s="62"/>
      <c r="M979" s="62"/>
      <c r="N979" s="62"/>
    </row>
    <row r="980" ht="15.75" customHeight="1">
      <c r="A980" s="61"/>
      <c r="K980" s="62"/>
      <c r="L980" s="62"/>
      <c r="M980" s="62"/>
      <c r="N980" s="62"/>
    </row>
    <row r="981" ht="15.75" customHeight="1">
      <c r="A981" s="61"/>
      <c r="K981" s="62"/>
      <c r="L981" s="62"/>
      <c r="M981" s="62"/>
      <c r="N981" s="62"/>
    </row>
    <row r="982" ht="15.75" customHeight="1">
      <c r="A982" s="61"/>
      <c r="K982" s="62"/>
      <c r="L982" s="62"/>
      <c r="M982" s="62"/>
      <c r="N982" s="62"/>
    </row>
    <row r="983" ht="15.75" customHeight="1">
      <c r="A983" s="61"/>
      <c r="K983" s="62"/>
      <c r="L983" s="62"/>
      <c r="M983" s="62"/>
      <c r="N983" s="62"/>
    </row>
    <row r="984" ht="15.75" customHeight="1">
      <c r="A984" s="61"/>
      <c r="K984" s="62"/>
      <c r="L984" s="62"/>
      <c r="M984" s="62"/>
      <c r="N984" s="62"/>
    </row>
    <row r="985" ht="15.75" customHeight="1">
      <c r="A985" s="61"/>
      <c r="K985" s="62"/>
      <c r="L985" s="62"/>
      <c r="M985" s="62"/>
      <c r="N985" s="62"/>
    </row>
    <row r="986" ht="15.75" customHeight="1">
      <c r="A986" s="61"/>
      <c r="K986" s="62"/>
      <c r="L986" s="62"/>
      <c r="M986" s="62"/>
      <c r="N986" s="62"/>
    </row>
    <row r="987" ht="15.75" customHeight="1">
      <c r="A987" s="61"/>
      <c r="K987" s="62"/>
      <c r="L987" s="62"/>
      <c r="M987" s="62"/>
      <c r="N987" s="62"/>
    </row>
    <row r="988" ht="15.75" customHeight="1">
      <c r="A988" s="61"/>
      <c r="K988" s="62"/>
      <c r="L988" s="62"/>
      <c r="M988" s="62"/>
      <c r="N988" s="62"/>
    </row>
    <row r="989" ht="15.75" customHeight="1">
      <c r="A989" s="61"/>
      <c r="K989" s="62"/>
      <c r="L989" s="62"/>
      <c r="M989" s="62"/>
      <c r="N989" s="62"/>
    </row>
    <row r="990" ht="15.75" customHeight="1">
      <c r="A990" s="61"/>
      <c r="K990" s="62"/>
      <c r="L990" s="62"/>
      <c r="M990" s="62"/>
      <c r="N990" s="62"/>
    </row>
    <row r="991" ht="15.75" customHeight="1">
      <c r="A991" s="61"/>
      <c r="K991" s="62"/>
      <c r="L991" s="62"/>
      <c r="M991" s="62"/>
      <c r="N991" s="62"/>
    </row>
    <row r="992" ht="15.75" customHeight="1">
      <c r="A992" s="61"/>
      <c r="K992" s="62"/>
      <c r="L992" s="62"/>
      <c r="M992" s="62"/>
      <c r="N992" s="62"/>
    </row>
    <row r="993" ht="15.75" customHeight="1">
      <c r="A993" s="61"/>
      <c r="K993" s="62"/>
      <c r="L993" s="62"/>
      <c r="M993" s="62"/>
      <c r="N993" s="62"/>
    </row>
    <row r="994" ht="15.75" customHeight="1">
      <c r="A994" s="61"/>
      <c r="K994" s="62"/>
      <c r="L994" s="62"/>
      <c r="M994" s="62"/>
      <c r="N994" s="62"/>
    </row>
    <row r="995" ht="15.75" customHeight="1">
      <c r="A995" s="61"/>
      <c r="K995" s="62"/>
      <c r="L995" s="62"/>
      <c r="M995" s="62"/>
      <c r="N995" s="62"/>
    </row>
    <row r="996" ht="15.75" customHeight="1">
      <c r="A996" s="61"/>
      <c r="K996" s="62"/>
      <c r="L996" s="62"/>
      <c r="M996" s="62"/>
      <c r="N996" s="62"/>
    </row>
    <row r="997" ht="15.75" customHeight="1">
      <c r="A997" s="61"/>
      <c r="K997" s="62"/>
      <c r="L997" s="62"/>
      <c r="M997" s="62"/>
      <c r="N997" s="62"/>
    </row>
    <row r="998" ht="15.75" customHeight="1">
      <c r="A998" s="61"/>
      <c r="K998" s="62"/>
      <c r="L998" s="62"/>
      <c r="M998" s="62"/>
      <c r="N998" s="6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9" max="9" width="29.75"/>
    <col customWidth="1" min="10" max="10" width="26.75"/>
    <col customWidth="1" min="11" max="11" width="24.88"/>
    <col customWidth="1" min="12" max="13" width="22.75"/>
    <col customWidth="1" min="14" max="14" width="12.5"/>
    <col customWidth="1" min="15" max="15" width="22.13"/>
    <col customWidth="1" min="16" max="16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15" t="s">
        <v>36</v>
      </c>
      <c r="J1" s="15" t="s">
        <v>40</v>
      </c>
      <c r="K1" s="17" t="s">
        <v>9</v>
      </c>
      <c r="L1" s="18" t="s">
        <v>10</v>
      </c>
      <c r="M1" s="17" t="s">
        <v>46</v>
      </c>
      <c r="N1" s="18" t="s">
        <v>11</v>
      </c>
      <c r="O1" s="19" t="s">
        <v>49</v>
      </c>
      <c r="P1" s="3" t="s">
        <v>12</v>
      </c>
    </row>
    <row r="2">
      <c r="A2" s="6" t="s">
        <v>23</v>
      </c>
      <c r="B2" s="7" t="s">
        <v>24</v>
      </c>
      <c r="C2" s="7" t="s">
        <v>25</v>
      </c>
      <c r="D2" s="7" t="s">
        <v>26</v>
      </c>
      <c r="E2" s="7">
        <v>390235.655</v>
      </c>
      <c r="F2" s="7">
        <v>9896421.412</v>
      </c>
      <c r="G2" s="8" t="s">
        <v>28</v>
      </c>
      <c r="H2" s="5">
        <v>134.013493561028</v>
      </c>
      <c r="I2" s="7" t="s">
        <v>27</v>
      </c>
      <c r="J2" s="7">
        <f t="shared" ref="J2:J5" si="1">IFS(I2="hutan",1,I2="hutan, sungai",1,I2="pekarangan",3,I2="hutan, jalan desa",2,I2="hutan, kebun sawit",3,I2="hutan, jalan",2,I2="sawah",2,I2="kebun",2,I2="sawah, kebun",3,I2="kebun sawit",3,I2="Lahan GI",1,I2="kebun sawit, jalan provinsi",3,I2="lahan kosong",1,I2="kebun, lahan kosong",2,I2="jalan desa, kebun sawit",3,I2="sungai",1)</f>
        <v>1</v>
      </c>
      <c r="K2" s="10" t="s">
        <v>29</v>
      </c>
      <c r="L2" s="12">
        <v>14.59</v>
      </c>
      <c r="M2" s="12" t="s">
        <v>85</v>
      </c>
      <c r="N2" s="12">
        <v>313.0</v>
      </c>
      <c r="O2" s="12">
        <v>3.0</v>
      </c>
      <c r="P2" s="12">
        <v>76.0</v>
      </c>
    </row>
    <row r="3">
      <c r="A3" s="6" t="s">
        <v>37</v>
      </c>
      <c r="B3" s="7" t="s">
        <v>24</v>
      </c>
      <c r="C3" s="7" t="s">
        <v>25</v>
      </c>
      <c r="D3" s="7" t="s">
        <v>26</v>
      </c>
      <c r="E3" s="7">
        <v>390009.232</v>
      </c>
      <c r="F3" s="7">
        <v>9896287.332</v>
      </c>
      <c r="G3" s="20" t="s">
        <v>38</v>
      </c>
      <c r="H3" s="20" t="s">
        <v>39</v>
      </c>
      <c r="I3" s="7" t="s">
        <v>27</v>
      </c>
      <c r="J3" s="7">
        <f t="shared" si="1"/>
        <v>1</v>
      </c>
      <c r="K3" s="21">
        <v>263.179</v>
      </c>
      <c r="L3" s="12">
        <v>20.0</v>
      </c>
      <c r="M3" s="12" t="s">
        <v>109</v>
      </c>
      <c r="N3" s="12">
        <v>114.0</v>
      </c>
      <c r="O3" s="12">
        <v>2.0</v>
      </c>
      <c r="P3" s="12">
        <v>320.0</v>
      </c>
    </row>
    <row r="4">
      <c r="A4" s="6" t="s">
        <v>41</v>
      </c>
      <c r="B4" s="7" t="s">
        <v>24</v>
      </c>
      <c r="C4" s="7" t="s">
        <v>25</v>
      </c>
      <c r="D4" s="7" t="s">
        <v>26</v>
      </c>
      <c r="E4" s="7">
        <v>389643.126</v>
      </c>
      <c r="F4" s="7">
        <v>9896195.618</v>
      </c>
      <c r="G4" s="20" t="s">
        <v>42</v>
      </c>
      <c r="H4" s="20" t="s">
        <v>43</v>
      </c>
      <c r="I4" s="7" t="s">
        <v>123</v>
      </c>
      <c r="J4" s="7">
        <f t="shared" si="1"/>
        <v>3</v>
      </c>
      <c r="K4" s="21">
        <v>377.359</v>
      </c>
      <c r="L4" s="12">
        <v>6.0</v>
      </c>
      <c r="M4" s="12" t="s">
        <v>132</v>
      </c>
      <c r="N4" s="12">
        <v>18.0</v>
      </c>
      <c r="O4" s="12">
        <v>2.0</v>
      </c>
      <c r="P4" s="12">
        <v>456.0</v>
      </c>
    </row>
    <row r="5">
      <c r="A5" s="6" t="s">
        <v>44</v>
      </c>
      <c r="B5" s="7" t="s">
        <v>136</v>
      </c>
      <c r="C5" s="7" t="s">
        <v>25</v>
      </c>
      <c r="D5" s="7" t="s">
        <v>26</v>
      </c>
      <c r="E5" s="7">
        <v>389358.174</v>
      </c>
      <c r="F5" s="7">
        <v>9895901.453</v>
      </c>
      <c r="G5" s="20" t="s">
        <v>45</v>
      </c>
      <c r="H5" s="20" t="s">
        <v>47</v>
      </c>
      <c r="I5" s="7" t="s">
        <v>123</v>
      </c>
      <c r="J5" s="7">
        <f t="shared" si="1"/>
        <v>3</v>
      </c>
      <c r="K5" s="21">
        <v>409.519</v>
      </c>
      <c r="L5" s="12">
        <v>11.0</v>
      </c>
      <c r="M5" s="12" t="s">
        <v>109</v>
      </c>
      <c r="N5" s="12">
        <v>116.0</v>
      </c>
      <c r="O5" s="12">
        <v>2.0</v>
      </c>
      <c r="P5" s="12">
        <v>746.0</v>
      </c>
    </row>
    <row r="6">
      <c r="A6" s="6" t="s">
        <v>48</v>
      </c>
      <c r="B6" s="7" t="s">
        <v>136</v>
      </c>
      <c r="C6" s="7" t="s">
        <v>25</v>
      </c>
      <c r="D6" s="7" t="s">
        <v>26</v>
      </c>
      <c r="E6" s="7">
        <v>389020.532</v>
      </c>
      <c r="F6" s="7">
        <v>9895701.355</v>
      </c>
      <c r="G6" s="20" t="s">
        <v>50</v>
      </c>
      <c r="H6" s="20" t="s">
        <v>51</v>
      </c>
      <c r="I6" s="7" t="s">
        <v>168</v>
      </c>
      <c r="J6" s="7">
        <v>3.0</v>
      </c>
      <c r="K6" s="21">
        <v>392.553</v>
      </c>
      <c r="L6" s="26">
        <v>9.97</v>
      </c>
      <c r="M6" s="26" t="s">
        <v>175</v>
      </c>
      <c r="N6" s="26">
        <v>13.79</v>
      </c>
      <c r="O6" s="22">
        <v>1.0</v>
      </c>
      <c r="P6" s="22">
        <v>735.0</v>
      </c>
    </row>
    <row r="7">
      <c r="A7" s="6" t="s">
        <v>52</v>
      </c>
      <c r="B7" s="7" t="s">
        <v>136</v>
      </c>
      <c r="C7" s="7" t="s">
        <v>25</v>
      </c>
      <c r="D7" s="7" t="s">
        <v>26</v>
      </c>
      <c r="E7" s="7">
        <v>388759.173</v>
      </c>
      <c r="F7" s="7">
        <v>9895546.512</v>
      </c>
      <c r="G7" s="20" t="s">
        <v>53</v>
      </c>
      <c r="H7" s="20" t="s">
        <v>54</v>
      </c>
      <c r="I7" s="7" t="s">
        <v>27</v>
      </c>
      <c r="J7" s="7">
        <f t="shared" ref="J7:J9" si="2">IFS(I7="hutan",1,I7="hutan, sungai",1,I7="pekarangan",3,I7="hutan, jalan desa",2,I7="hutan, kebun sawit",3,I7="hutan, jalan",2,I7="sawah",2,I7="kebun",2,I7="sawah, kebun",3,I7="kebun sawit",3,I7="Lahan GI",1,I7="kebun sawit, jalan provinsi",3,I7="lahan kosong",1,I7="kebun, lahan kosong",2,I7="jalan desa, kebun sawit",3,I7="sungai",1)</f>
        <v>1</v>
      </c>
      <c r="K7" s="21">
        <v>303.757</v>
      </c>
      <c r="L7" s="26">
        <v>22.08</v>
      </c>
      <c r="M7" s="26" t="s">
        <v>175</v>
      </c>
      <c r="N7" s="26">
        <v>46.14</v>
      </c>
      <c r="O7" s="22">
        <v>1.0</v>
      </c>
      <c r="P7" s="22">
        <v>435.0</v>
      </c>
    </row>
    <row r="8">
      <c r="A8" s="6" t="s">
        <v>55</v>
      </c>
      <c r="B8" s="7" t="s">
        <v>136</v>
      </c>
      <c r="C8" s="7" t="s">
        <v>25</v>
      </c>
      <c r="D8" s="7" t="s">
        <v>26</v>
      </c>
      <c r="E8" s="7">
        <v>388508.463</v>
      </c>
      <c r="F8" s="7">
        <v>9895397.884</v>
      </c>
      <c r="G8" s="20" t="s">
        <v>56</v>
      </c>
      <c r="H8" s="20" t="s">
        <v>57</v>
      </c>
      <c r="I8" s="7" t="s">
        <v>217</v>
      </c>
      <c r="J8" s="7">
        <f t="shared" si="2"/>
        <v>1</v>
      </c>
      <c r="K8" s="21">
        <v>291.45</v>
      </c>
      <c r="L8" s="26">
        <v>16.5</v>
      </c>
      <c r="M8" s="26" t="s">
        <v>175</v>
      </c>
      <c r="N8" s="26">
        <v>165.0</v>
      </c>
      <c r="O8" s="14">
        <v>1.0</v>
      </c>
      <c r="P8" s="14">
        <v>153.0</v>
      </c>
    </row>
    <row r="9">
      <c r="A9" s="6" t="s">
        <v>58</v>
      </c>
      <c r="B9" s="7" t="s">
        <v>136</v>
      </c>
      <c r="C9" s="7" t="s">
        <v>25</v>
      </c>
      <c r="D9" s="7" t="s">
        <v>26</v>
      </c>
      <c r="E9" s="7">
        <v>388253.886</v>
      </c>
      <c r="F9" s="7">
        <v>9895253.344</v>
      </c>
      <c r="G9" s="20" t="s">
        <v>59</v>
      </c>
      <c r="H9" s="20" t="s">
        <v>60</v>
      </c>
      <c r="I9" s="7" t="s">
        <v>232</v>
      </c>
      <c r="J9" s="7">
        <f t="shared" si="2"/>
        <v>1</v>
      </c>
      <c r="K9" s="21">
        <v>292.746</v>
      </c>
      <c r="L9" s="26">
        <v>19.72</v>
      </c>
      <c r="M9" s="26" t="s">
        <v>132</v>
      </c>
      <c r="N9" s="26">
        <v>90.0</v>
      </c>
      <c r="O9" s="14">
        <v>2.0</v>
      </c>
      <c r="P9" s="14">
        <v>75.05</v>
      </c>
    </row>
    <row r="10">
      <c r="A10" s="6" t="s">
        <v>61</v>
      </c>
      <c r="B10" s="7" t="s">
        <v>244</v>
      </c>
      <c r="C10" s="7" t="s">
        <v>25</v>
      </c>
      <c r="D10" s="7" t="s">
        <v>26</v>
      </c>
      <c r="E10" s="7">
        <v>388133.137</v>
      </c>
      <c r="F10" s="7">
        <v>9895003.639</v>
      </c>
      <c r="G10" s="20" t="s">
        <v>62</v>
      </c>
      <c r="H10" s="20" t="s">
        <v>63</v>
      </c>
      <c r="I10" s="7" t="s">
        <v>232</v>
      </c>
      <c r="J10" s="7">
        <f>IFS(I10="hutan",1,I10="hutan, Sungai",1,I10="pekarangan",3,I10="hutan, jalan desa",2,I10="hutan, kebun sawit",3,I10="hutan, jalan",2,I10="sawah",2,I10="kebun",2,I10="sawah, kebun",3,I10="kebun sawit",3,I10="Lahan GI",1,I10="kebun sawit, jalan provinsi",3,I10="lahan kosong",1,I10="kebun, lahan kosong",2,I10="jalan desa, kebun sawit",3,I10="sungai",1)</f>
        <v>1</v>
      </c>
      <c r="K10" s="21">
        <v>276.847</v>
      </c>
      <c r="L10" s="26">
        <v>18.73</v>
      </c>
      <c r="M10" s="26" t="s">
        <v>272</v>
      </c>
      <c r="N10" s="26">
        <v>48.99</v>
      </c>
      <c r="O10" s="14">
        <v>2.0</v>
      </c>
      <c r="P10" s="14">
        <v>35.62</v>
      </c>
    </row>
    <row r="11">
      <c r="A11" s="6" t="s">
        <v>64</v>
      </c>
      <c r="B11" s="7" t="s">
        <v>244</v>
      </c>
      <c r="C11" s="7" t="s">
        <v>25</v>
      </c>
      <c r="D11" s="7" t="s">
        <v>26</v>
      </c>
      <c r="E11" s="7">
        <v>388421.411</v>
      </c>
      <c r="F11" s="7">
        <v>9894740.272</v>
      </c>
      <c r="G11" s="20" t="s">
        <v>65</v>
      </c>
      <c r="H11" s="20" t="s">
        <v>66</v>
      </c>
      <c r="I11" s="7" t="s">
        <v>123</v>
      </c>
      <c r="J11" s="7">
        <f t="shared" ref="J11:J51" si="3">IFS(I11="hutan",1,I11="hutan, sungai",1,I11="pekarangan",3,I11="hutan, jalan desa",2,I11="hutan, kebun sawit",3,I11="hutan, jalan",2,I11="sawah",2,I11="kebun",2,I11="sawah, kebun",3,I11="kebun sawit",3,I11="Lahan GI",1,I11="kebun sawit, jalan provinsi",3,I11="lahan kosong",1,I11="kebun, lahan kosong",2,I11="jalan desa, kebun sawit",3,I11="sungai",1)</f>
        <v>3</v>
      </c>
      <c r="K11" s="21">
        <v>390.764</v>
      </c>
      <c r="L11" s="26">
        <v>18.06</v>
      </c>
      <c r="M11" s="26" t="s">
        <v>175</v>
      </c>
      <c r="N11" s="26">
        <v>32.25</v>
      </c>
      <c r="O11" s="14">
        <v>1.0</v>
      </c>
      <c r="P11" s="14">
        <v>29.55</v>
      </c>
    </row>
    <row r="12">
      <c r="A12" s="6" t="s">
        <v>67</v>
      </c>
      <c r="B12" s="7" t="s">
        <v>24</v>
      </c>
      <c r="C12" s="7" t="s">
        <v>25</v>
      </c>
      <c r="D12" s="7" t="s">
        <v>26</v>
      </c>
      <c r="E12" s="7">
        <v>388729.484</v>
      </c>
      <c r="F12" s="7">
        <v>9894471.967</v>
      </c>
      <c r="G12" s="20" t="s">
        <v>68</v>
      </c>
      <c r="H12" s="20" t="s">
        <v>69</v>
      </c>
      <c r="I12" s="7" t="s">
        <v>123</v>
      </c>
      <c r="J12" s="7">
        <f t="shared" si="3"/>
        <v>3</v>
      </c>
      <c r="K12" s="21">
        <v>408.53</v>
      </c>
      <c r="L12" s="26">
        <v>16.77</v>
      </c>
      <c r="M12" s="26" t="s">
        <v>132</v>
      </c>
      <c r="N12" s="26">
        <v>10.23</v>
      </c>
      <c r="O12" s="14">
        <v>2.0</v>
      </c>
      <c r="P12" s="14">
        <v>108.0</v>
      </c>
    </row>
    <row r="13">
      <c r="A13" s="6" t="s">
        <v>70</v>
      </c>
      <c r="B13" s="7" t="s">
        <v>24</v>
      </c>
      <c r="C13" s="7" t="s">
        <v>25</v>
      </c>
      <c r="D13" s="7" t="s">
        <v>26</v>
      </c>
      <c r="E13" s="7">
        <v>388862.651</v>
      </c>
      <c r="F13" s="7">
        <v>9894186.478</v>
      </c>
      <c r="G13" s="20" t="s">
        <v>71</v>
      </c>
      <c r="H13" s="20" t="s">
        <v>72</v>
      </c>
      <c r="I13" s="7" t="s">
        <v>123</v>
      </c>
      <c r="J13" s="7">
        <f t="shared" si="3"/>
        <v>3</v>
      </c>
      <c r="K13" s="21">
        <v>315.062</v>
      </c>
      <c r="L13" s="26">
        <v>24.83</v>
      </c>
      <c r="M13" s="26" t="s">
        <v>109</v>
      </c>
      <c r="N13" s="26">
        <v>17.35</v>
      </c>
      <c r="O13" s="14">
        <v>1.0</v>
      </c>
      <c r="P13" s="14">
        <v>112.0</v>
      </c>
    </row>
    <row r="14">
      <c r="A14" s="6" t="s">
        <v>73</v>
      </c>
      <c r="B14" s="7" t="s">
        <v>325</v>
      </c>
      <c r="C14" s="7" t="s">
        <v>25</v>
      </c>
      <c r="D14" s="7" t="s">
        <v>26</v>
      </c>
      <c r="E14" s="7">
        <v>388924.689</v>
      </c>
      <c r="F14" s="7">
        <v>9894002.038</v>
      </c>
      <c r="G14" s="20" t="s">
        <v>74</v>
      </c>
      <c r="H14" s="20" t="s">
        <v>75</v>
      </c>
      <c r="I14" s="7" t="s">
        <v>332</v>
      </c>
      <c r="J14" s="7">
        <f t="shared" si="3"/>
        <v>1</v>
      </c>
      <c r="K14" s="21">
        <v>194.55</v>
      </c>
      <c r="L14" s="26">
        <v>60.08</v>
      </c>
      <c r="M14" s="26" t="s">
        <v>109</v>
      </c>
      <c r="N14" s="26">
        <v>140.78</v>
      </c>
      <c r="O14" s="14">
        <v>2.0</v>
      </c>
      <c r="P14" s="14">
        <v>310.0</v>
      </c>
    </row>
    <row r="15">
      <c r="A15" s="6" t="s">
        <v>76</v>
      </c>
      <c r="B15" s="7" t="s">
        <v>325</v>
      </c>
      <c r="C15" s="7" t="s">
        <v>25</v>
      </c>
      <c r="D15" s="7" t="s">
        <v>26</v>
      </c>
      <c r="E15" s="7">
        <v>388919.739</v>
      </c>
      <c r="F15" s="7">
        <v>9893665.934</v>
      </c>
      <c r="G15" s="20" t="s">
        <v>77</v>
      </c>
      <c r="H15" s="20" t="s">
        <v>78</v>
      </c>
      <c r="I15" s="7" t="s">
        <v>332</v>
      </c>
      <c r="J15" s="7">
        <f t="shared" si="3"/>
        <v>1</v>
      </c>
      <c r="K15" s="21">
        <v>336.161</v>
      </c>
      <c r="L15" s="26">
        <v>131.9</v>
      </c>
      <c r="M15" s="26" t="s">
        <v>109</v>
      </c>
      <c r="N15" s="26">
        <v>284.32</v>
      </c>
      <c r="O15" s="14">
        <v>2.0</v>
      </c>
      <c r="P15" s="14">
        <v>635.44</v>
      </c>
    </row>
    <row r="16">
      <c r="A16" s="6" t="s">
        <v>79</v>
      </c>
      <c r="B16" s="7" t="s">
        <v>325</v>
      </c>
      <c r="C16" s="7" t="s">
        <v>25</v>
      </c>
      <c r="D16" s="7" t="s">
        <v>26</v>
      </c>
      <c r="E16" s="7">
        <v>388920.117</v>
      </c>
      <c r="F16" s="7">
        <v>9893410.859</v>
      </c>
      <c r="G16" s="20" t="s">
        <v>80</v>
      </c>
      <c r="H16" s="20" t="s">
        <v>81</v>
      </c>
      <c r="I16" s="7" t="s">
        <v>332</v>
      </c>
      <c r="J16" s="7">
        <f t="shared" si="3"/>
        <v>1</v>
      </c>
      <c r="K16" s="21">
        <v>255.059</v>
      </c>
      <c r="L16" s="26">
        <v>150.26</v>
      </c>
      <c r="M16" s="26" t="s">
        <v>132</v>
      </c>
      <c r="N16" s="26">
        <v>400.31</v>
      </c>
      <c r="O16" s="14">
        <v>3.0</v>
      </c>
      <c r="P16" s="14">
        <v>883.78</v>
      </c>
    </row>
    <row r="17">
      <c r="A17" s="6" t="s">
        <v>82</v>
      </c>
      <c r="B17" s="7" t="s">
        <v>325</v>
      </c>
      <c r="C17" s="7" t="s">
        <v>25</v>
      </c>
      <c r="D17" s="7" t="s">
        <v>26</v>
      </c>
      <c r="E17" s="7">
        <v>388856.204</v>
      </c>
      <c r="F17" s="7">
        <v>9892963.003</v>
      </c>
      <c r="G17" s="20" t="s">
        <v>83</v>
      </c>
      <c r="H17" s="20" t="s">
        <v>84</v>
      </c>
      <c r="I17" s="7" t="s">
        <v>332</v>
      </c>
      <c r="J17" s="7">
        <f t="shared" si="3"/>
        <v>1</v>
      </c>
      <c r="K17" s="21">
        <v>452.328</v>
      </c>
      <c r="L17" s="26">
        <v>179.82</v>
      </c>
      <c r="M17" s="26" t="s">
        <v>132</v>
      </c>
      <c r="N17" s="26">
        <v>1095.0</v>
      </c>
      <c r="O17" s="14">
        <v>3.0</v>
      </c>
      <c r="P17" s="14">
        <v>1511.0</v>
      </c>
    </row>
    <row r="18">
      <c r="A18" s="6" t="s">
        <v>86</v>
      </c>
      <c r="B18" s="7" t="s">
        <v>325</v>
      </c>
      <c r="C18" s="7" t="s">
        <v>25</v>
      </c>
      <c r="D18" s="7" t="s">
        <v>26</v>
      </c>
      <c r="E18" s="7">
        <v>388737.014</v>
      </c>
      <c r="F18" s="7">
        <v>9892762.224</v>
      </c>
      <c r="G18" s="20" t="s">
        <v>87</v>
      </c>
      <c r="H18" s="20" t="s">
        <v>88</v>
      </c>
      <c r="I18" s="7" t="s">
        <v>332</v>
      </c>
      <c r="J18" s="7">
        <f t="shared" si="3"/>
        <v>1</v>
      </c>
      <c r="K18" s="21">
        <v>233.568</v>
      </c>
      <c r="L18" s="26">
        <v>175.16</v>
      </c>
      <c r="M18" s="26" t="s">
        <v>109</v>
      </c>
      <c r="N18" s="26">
        <v>1055.0</v>
      </c>
      <c r="O18" s="14">
        <v>3.0</v>
      </c>
      <c r="P18" s="14">
        <v>1524.0</v>
      </c>
    </row>
    <row r="19">
      <c r="A19" s="6" t="s">
        <v>89</v>
      </c>
      <c r="B19" s="7" t="s">
        <v>325</v>
      </c>
      <c r="C19" s="7" t="s">
        <v>25</v>
      </c>
      <c r="D19" s="7" t="s">
        <v>26</v>
      </c>
      <c r="E19" s="7">
        <v>388527.547</v>
      </c>
      <c r="F19" s="7">
        <v>9892447.287</v>
      </c>
      <c r="G19" s="20" t="s">
        <v>90</v>
      </c>
      <c r="H19" s="20" t="s">
        <v>91</v>
      </c>
      <c r="I19" s="7" t="s">
        <v>332</v>
      </c>
      <c r="J19" s="7">
        <f t="shared" si="3"/>
        <v>1</v>
      </c>
      <c r="K19" s="21">
        <v>378.193</v>
      </c>
      <c r="L19" s="26">
        <v>113.14</v>
      </c>
      <c r="M19" s="26" t="s">
        <v>109</v>
      </c>
      <c r="N19" s="26">
        <v>1350.0</v>
      </c>
      <c r="O19" s="14">
        <v>3.0</v>
      </c>
      <c r="P19" s="14">
        <v>1842.0</v>
      </c>
    </row>
    <row r="20">
      <c r="A20" s="6" t="s">
        <v>92</v>
      </c>
      <c r="B20" s="7" t="s">
        <v>325</v>
      </c>
      <c r="C20" s="7" t="s">
        <v>25</v>
      </c>
      <c r="D20" s="7" t="s">
        <v>26</v>
      </c>
      <c r="E20" s="7">
        <v>388363.963</v>
      </c>
      <c r="F20" s="7">
        <v>9892195.814</v>
      </c>
      <c r="G20" s="20" t="s">
        <v>93</v>
      </c>
      <c r="H20" s="20" t="s">
        <v>94</v>
      </c>
      <c r="I20" s="7" t="s">
        <v>332</v>
      </c>
      <c r="J20" s="7">
        <f t="shared" si="3"/>
        <v>1</v>
      </c>
      <c r="K20" s="21">
        <v>300.0</v>
      </c>
      <c r="L20" s="26">
        <v>76.49</v>
      </c>
      <c r="M20" s="26" t="s">
        <v>109</v>
      </c>
      <c r="N20" s="26">
        <v>1220.0</v>
      </c>
      <c r="O20" s="14">
        <v>3.0</v>
      </c>
      <c r="P20" s="14">
        <v>2117.0</v>
      </c>
    </row>
    <row r="21">
      <c r="A21" s="6" t="s">
        <v>95</v>
      </c>
      <c r="B21" s="7" t="s">
        <v>325</v>
      </c>
      <c r="C21" s="7" t="s">
        <v>25</v>
      </c>
      <c r="D21" s="7" t="s">
        <v>26</v>
      </c>
      <c r="E21" s="7">
        <v>388193.159</v>
      </c>
      <c r="F21" s="7">
        <v>9891933.258</v>
      </c>
      <c r="G21" s="20" t="s">
        <v>96</v>
      </c>
      <c r="H21" s="20" t="s">
        <v>97</v>
      </c>
      <c r="I21" s="7" t="s">
        <v>332</v>
      </c>
      <c r="J21" s="7">
        <f t="shared" si="3"/>
        <v>1</v>
      </c>
      <c r="K21" s="21">
        <v>313.251</v>
      </c>
      <c r="L21" s="26">
        <v>57.53</v>
      </c>
      <c r="M21" s="26" t="s">
        <v>175</v>
      </c>
      <c r="N21" s="26">
        <v>925.0</v>
      </c>
      <c r="O21" s="14">
        <v>1.0</v>
      </c>
      <c r="P21" s="14">
        <v>2430.0</v>
      </c>
    </row>
    <row r="22">
      <c r="A22" s="6" t="s">
        <v>98</v>
      </c>
      <c r="B22" s="7" t="s">
        <v>325</v>
      </c>
      <c r="C22" s="7" t="s">
        <v>25</v>
      </c>
      <c r="D22" s="7" t="s">
        <v>26</v>
      </c>
      <c r="E22" s="7">
        <v>388034.083</v>
      </c>
      <c r="F22" s="7">
        <v>9891688.689</v>
      </c>
      <c r="G22" s="20" t="s">
        <v>99</v>
      </c>
      <c r="H22" s="20" t="s">
        <v>100</v>
      </c>
      <c r="I22" s="7" t="s">
        <v>332</v>
      </c>
      <c r="J22" s="7">
        <f t="shared" si="3"/>
        <v>1</v>
      </c>
      <c r="K22" s="21">
        <v>291.7</v>
      </c>
      <c r="L22" s="26">
        <v>70.66</v>
      </c>
      <c r="M22" s="26" t="s">
        <v>132</v>
      </c>
      <c r="N22" s="26">
        <v>675.0</v>
      </c>
      <c r="O22" s="14">
        <v>3.0</v>
      </c>
      <c r="P22" s="14">
        <v>2695.0</v>
      </c>
    </row>
    <row r="23">
      <c r="A23" s="6" t="s">
        <v>101</v>
      </c>
      <c r="B23" s="7" t="s">
        <v>325</v>
      </c>
      <c r="C23" s="7" t="s">
        <v>25</v>
      </c>
      <c r="D23" s="7" t="s">
        <v>26</v>
      </c>
      <c r="E23" s="7">
        <v>387708.669</v>
      </c>
      <c r="F23" s="7">
        <v>9891464.127</v>
      </c>
      <c r="G23" s="20" t="s">
        <v>102</v>
      </c>
      <c r="H23" s="20" t="s">
        <v>103</v>
      </c>
      <c r="I23" s="7" t="s">
        <v>332</v>
      </c>
      <c r="J23" s="7">
        <f t="shared" si="3"/>
        <v>1</v>
      </c>
      <c r="K23" s="21">
        <v>395.363</v>
      </c>
      <c r="L23" s="26">
        <v>215.89</v>
      </c>
      <c r="M23" s="26" t="s">
        <v>132</v>
      </c>
      <c r="N23" s="26">
        <v>309.94</v>
      </c>
      <c r="O23" s="14">
        <v>3.0</v>
      </c>
      <c r="P23" s="14">
        <v>3021.79</v>
      </c>
    </row>
    <row r="24">
      <c r="A24" s="6" t="s">
        <v>104</v>
      </c>
      <c r="B24" s="7" t="s">
        <v>325</v>
      </c>
      <c r="C24" s="7" t="s">
        <v>25</v>
      </c>
      <c r="D24" s="7" t="s">
        <v>26</v>
      </c>
      <c r="E24" s="7">
        <v>387516.535</v>
      </c>
      <c r="F24" s="7">
        <v>9891408.725</v>
      </c>
      <c r="G24" s="20" t="s">
        <v>105</v>
      </c>
      <c r="H24" s="20" t="s">
        <v>106</v>
      </c>
      <c r="I24" s="7" t="s">
        <v>332</v>
      </c>
      <c r="J24" s="7">
        <f t="shared" si="3"/>
        <v>1</v>
      </c>
      <c r="K24" s="21">
        <v>200.038</v>
      </c>
      <c r="L24" s="26">
        <v>253.96</v>
      </c>
      <c r="M24" s="26" t="s">
        <v>109</v>
      </c>
      <c r="N24" s="26">
        <v>108.4</v>
      </c>
      <c r="O24" s="14">
        <v>2.0</v>
      </c>
      <c r="P24" s="14">
        <v>2885.81</v>
      </c>
    </row>
    <row r="25">
      <c r="A25" s="6" t="s">
        <v>107</v>
      </c>
      <c r="B25" s="7" t="s">
        <v>413</v>
      </c>
      <c r="C25" s="7" t="s">
        <v>25</v>
      </c>
      <c r="D25" s="7" t="s">
        <v>26</v>
      </c>
      <c r="E25" s="7">
        <v>387276.316</v>
      </c>
      <c r="F25" s="7">
        <v>9891339.463</v>
      </c>
      <c r="G25" s="20" t="s">
        <v>108</v>
      </c>
      <c r="H25" s="20" t="s">
        <v>110</v>
      </c>
      <c r="I25" s="7" t="s">
        <v>332</v>
      </c>
      <c r="J25" s="7">
        <f t="shared" si="3"/>
        <v>1</v>
      </c>
      <c r="K25" s="21">
        <v>249.995</v>
      </c>
      <c r="L25" s="26">
        <v>231.93</v>
      </c>
      <c r="M25" s="26" t="s">
        <v>109</v>
      </c>
      <c r="N25" s="26">
        <v>130.79</v>
      </c>
      <c r="O25" s="14">
        <v>2.0</v>
      </c>
      <c r="P25" s="14">
        <v>2576.63</v>
      </c>
    </row>
    <row r="26">
      <c r="A26" s="6" t="s">
        <v>111</v>
      </c>
      <c r="B26" s="7" t="s">
        <v>413</v>
      </c>
      <c r="C26" s="7" t="s">
        <v>25</v>
      </c>
      <c r="D26" s="7" t="s">
        <v>26</v>
      </c>
      <c r="E26" s="7">
        <v>387035.784</v>
      </c>
      <c r="F26" s="7">
        <v>9891270.353</v>
      </c>
      <c r="G26" s="20" t="s">
        <v>112</v>
      </c>
      <c r="H26" s="20" t="s">
        <v>113</v>
      </c>
      <c r="I26" s="7" t="s">
        <v>332</v>
      </c>
      <c r="J26" s="7">
        <f t="shared" si="3"/>
        <v>1</v>
      </c>
      <c r="K26" s="21">
        <v>250.011</v>
      </c>
      <c r="L26" s="26">
        <v>228.73</v>
      </c>
      <c r="M26" s="26" t="s">
        <v>109</v>
      </c>
      <c r="N26" s="26">
        <v>369.11</v>
      </c>
      <c r="O26" s="14">
        <v>2.0</v>
      </c>
      <c r="P26" s="14">
        <v>2327.12</v>
      </c>
    </row>
    <row r="27">
      <c r="A27" s="6" t="s">
        <v>114</v>
      </c>
      <c r="B27" s="7" t="s">
        <v>413</v>
      </c>
      <c r="C27" s="7" t="s">
        <v>418</v>
      </c>
      <c r="D27" s="7" t="s">
        <v>26</v>
      </c>
      <c r="E27" s="7">
        <v>386661.472</v>
      </c>
      <c r="F27" s="7">
        <v>9891241.077</v>
      </c>
      <c r="G27" s="20" t="s">
        <v>115</v>
      </c>
      <c r="H27" s="20" t="s">
        <v>116</v>
      </c>
      <c r="I27" s="7" t="s">
        <v>332</v>
      </c>
      <c r="J27" s="7">
        <f t="shared" si="3"/>
        <v>1</v>
      </c>
      <c r="K27" s="21">
        <v>375.412</v>
      </c>
      <c r="L27" s="26">
        <v>200.58</v>
      </c>
      <c r="M27" s="26" t="s">
        <v>132</v>
      </c>
      <c r="N27" s="26">
        <v>603.2</v>
      </c>
      <c r="O27" s="14">
        <v>3.0</v>
      </c>
      <c r="P27" s="14">
        <v>1951.0</v>
      </c>
    </row>
    <row r="28">
      <c r="A28" s="6" t="s">
        <v>117</v>
      </c>
      <c r="B28" s="7" t="s">
        <v>413</v>
      </c>
      <c r="C28" s="7" t="s">
        <v>418</v>
      </c>
      <c r="D28" s="7" t="s">
        <v>26</v>
      </c>
      <c r="E28" s="7">
        <v>386433.937</v>
      </c>
      <c r="F28" s="7">
        <v>9891390.596</v>
      </c>
      <c r="G28" s="20" t="s">
        <v>119</v>
      </c>
      <c r="H28" s="20" t="s">
        <v>120</v>
      </c>
      <c r="I28" s="7" t="s">
        <v>332</v>
      </c>
      <c r="J28" s="7">
        <f t="shared" si="3"/>
        <v>1</v>
      </c>
      <c r="K28" s="21">
        <v>272.52</v>
      </c>
      <c r="L28" s="26">
        <v>196.4</v>
      </c>
      <c r="M28" s="26" t="s">
        <v>175</v>
      </c>
      <c r="N28" s="26">
        <v>494.0</v>
      </c>
      <c r="O28" s="14">
        <v>1.0</v>
      </c>
      <c r="P28" s="14">
        <v>1787.84</v>
      </c>
    </row>
    <row r="29">
      <c r="A29" s="6" t="s">
        <v>121</v>
      </c>
      <c r="B29" s="7" t="s">
        <v>413</v>
      </c>
      <c r="C29" s="7" t="s">
        <v>418</v>
      </c>
      <c r="D29" s="7" t="s">
        <v>26</v>
      </c>
      <c r="E29" s="7">
        <v>386140.015</v>
      </c>
      <c r="F29" s="7">
        <v>9891583.594</v>
      </c>
      <c r="G29" s="20" t="s">
        <v>122</v>
      </c>
      <c r="H29" s="20" t="s">
        <v>124</v>
      </c>
      <c r="I29" s="7" t="s">
        <v>332</v>
      </c>
      <c r="J29" s="7">
        <f t="shared" si="3"/>
        <v>1</v>
      </c>
      <c r="K29" s="21">
        <v>352.029</v>
      </c>
      <c r="L29" s="14">
        <v>194.63</v>
      </c>
      <c r="M29" s="14" t="s">
        <v>175</v>
      </c>
      <c r="N29" s="14">
        <v>392.48</v>
      </c>
      <c r="O29" s="14">
        <v>1.0</v>
      </c>
      <c r="P29" s="14">
        <v>1475.7</v>
      </c>
    </row>
    <row r="30">
      <c r="A30" s="6" t="s">
        <v>126</v>
      </c>
      <c r="B30" s="7" t="s">
        <v>413</v>
      </c>
      <c r="C30" s="7" t="s">
        <v>418</v>
      </c>
      <c r="D30" s="7" t="s">
        <v>26</v>
      </c>
      <c r="E30" s="7">
        <v>385837.047</v>
      </c>
      <c r="F30" s="7">
        <v>9891782.131</v>
      </c>
      <c r="G30" s="20" t="s">
        <v>127</v>
      </c>
      <c r="H30" s="20" t="s">
        <v>128</v>
      </c>
      <c r="I30" s="7" t="s">
        <v>332</v>
      </c>
      <c r="J30" s="7">
        <f t="shared" si="3"/>
        <v>1</v>
      </c>
      <c r="K30" s="21">
        <v>361.774</v>
      </c>
      <c r="L30" s="14">
        <v>196.3</v>
      </c>
      <c r="M30" s="14" t="s">
        <v>175</v>
      </c>
      <c r="N30" s="14">
        <v>394.99</v>
      </c>
      <c r="O30" s="14">
        <v>1.0</v>
      </c>
      <c r="P30" s="14">
        <v>1343.0</v>
      </c>
    </row>
    <row r="31">
      <c r="A31" s="6" t="s">
        <v>129</v>
      </c>
      <c r="B31" s="7" t="s">
        <v>413</v>
      </c>
      <c r="C31" s="7" t="s">
        <v>418</v>
      </c>
      <c r="D31" s="7" t="s">
        <v>26</v>
      </c>
      <c r="E31" s="7">
        <v>385534.14</v>
      </c>
      <c r="F31" s="7">
        <v>9891980.859</v>
      </c>
      <c r="G31" s="20" t="s">
        <v>131</v>
      </c>
      <c r="H31" s="20" t="s">
        <v>133</v>
      </c>
      <c r="I31" s="7" t="s">
        <v>332</v>
      </c>
      <c r="J31" s="7">
        <f t="shared" si="3"/>
        <v>1</v>
      </c>
      <c r="K31" s="21">
        <v>362.32</v>
      </c>
      <c r="L31" s="14">
        <v>172.45</v>
      </c>
      <c r="M31" s="14" t="s">
        <v>175</v>
      </c>
      <c r="N31" s="14">
        <v>571.0</v>
      </c>
      <c r="O31" s="14">
        <v>1.0</v>
      </c>
      <c r="P31" s="14">
        <v>1113.0</v>
      </c>
    </row>
    <row r="32">
      <c r="A32" s="6" t="s">
        <v>134</v>
      </c>
      <c r="B32" s="7" t="s">
        <v>413</v>
      </c>
      <c r="C32" s="7" t="s">
        <v>418</v>
      </c>
      <c r="D32" s="7" t="s">
        <v>26</v>
      </c>
      <c r="E32" s="7">
        <v>385205.807</v>
      </c>
      <c r="F32" s="7">
        <v>9892196.17</v>
      </c>
      <c r="G32" s="7">
        <v>-0.975174966237095</v>
      </c>
      <c r="H32" s="20" t="s">
        <v>135</v>
      </c>
      <c r="I32" s="7" t="s">
        <v>419</v>
      </c>
      <c r="J32" s="7">
        <f t="shared" si="3"/>
        <v>2</v>
      </c>
      <c r="K32" s="21">
        <v>392.412</v>
      </c>
      <c r="L32" s="14">
        <v>167.21</v>
      </c>
      <c r="M32" s="14" t="s">
        <v>175</v>
      </c>
      <c r="N32" s="14">
        <v>572.0</v>
      </c>
      <c r="O32" s="14">
        <v>1.0</v>
      </c>
      <c r="P32" s="14">
        <v>957.0</v>
      </c>
    </row>
    <row r="33">
      <c r="A33" s="6" t="s">
        <v>138</v>
      </c>
      <c r="B33" s="7" t="s">
        <v>413</v>
      </c>
      <c r="C33" s="7" t="s">
        <v>418</v>
      </c>
      <c r="D33" s="7" t="s">
        <v>26</v>
      </c>
      <c r="E33" s="7">
        <v>384936.293</v>
      </c>
      <c r="F33" s="7">
        <v>9892373.168</v>
      </c>
      <c r="G33" s="20" t="s">
        <v>139</v>
      </c>
      <c r="H33" s="20" t="s">
        <v>140</v>
      </c>
      <c r="I33" s="7" t="s">
        <v>332</v>
      </c>
      <c r="J33" s="7">
        <f t="shared" si="3"/>
        <v>1</v>
      </c>
      <c r="K33" s="21">
        <v>322.629</v>
      </c>
      <c r="L33" s="14">
        <v>139.42</v>
      </c>
      <c r="M33" s="14" t="s">
        <v>175</v>
      </c>
      <c r="N33" s="14">
        <v>555.05</v>
      </c>
      <c r="O33" s="14">
        <v>1.0</v>
      </c>
      <c r="P33" s="14">
        <v>900.0</v>
      </c>
    </row>
    <row r="34">
      <c r="A34" s="6" t="s">
        <v>141</v>
      </c>
      <c r="B34" s="7" t="s">
        <v>413</v>
      </c>
      <c r="C34" s="7" t="s">
        <v>418</v>
      </c>
      <c r="D34" s="7" t="s">
        <v>26</v>
      </c>
      <c r="E34" s="7">
        <v>384662.155</v>
      </c>
      <c r="F34" s="7">
        <v>9892552.908</v>
      </c>
      <c r="G34" s="20" t="s">
        <v>142</v>
      </c>
      <c r="H34" s="20" t="s">
        <v>143</v>
      </c>
      <c r="I34" s="7" t="s">
        <v>420</v>
      </c>
      <c r="J34" s="7">
        <f t="shared" si="3"/>
        <v>3</v>
      </c>
      <c r="K34" s="21">
        <v>327.858</v>
      </c>
      <c r="L34" s="14">
        <v>130.34</v>
      </c>
      <c r="M34" s="14" t="s">
        <v>175</v>
      </c>
      <c r="N34" s="14">
        <v>555.0</v>
      </c>
      <c r="O34" s="14">
        <v>1.0</v>
      </c>
      <c r="P34" s="14">
        <v>876.0</v>
      </c>
    </row>
    <row r="35">
      <c r="A35" s="6" t="s">
        <v>144</v>
      </c>
      <c r="B35" s="7" t="s">
        <v>413</v>
      </c>
      <c r="C35" s="7" t="s">
        <v>418</v>
      </c>
      <c r="D35" s="7" t="s">
        <v>26</v>
      </c>
      <c r="E35" s="7">
        <v>384346.613</v>
      </c>
      <c r="F35" s="7">
        <v>9892759.97</v>
      </c>
      <c r="G35" s="20" t="s">
        <v>145</v>
      </c>
      <c r="H35" s="20" t="s">
        <v>146</v>
      </c>
      <c r="I35" s="7" t="s">
        <v>332</v>
      </c>
      <c r="J35" s="7">
        <f t="shared" si="3"/>
        <v>1</v>
      </c>
      <c r="K35" s="21">
        <v>377.261</v>
      </c>
      <c r="L35" s="14">
        <v>134.34</v>
      </c>
      <c r="M35" s="14" t="s">
        <v>175</v>
      </c>
      <c r="N35" s="14">
        <v>533.0</v>
      </c>
      <c r="O35" s="14">
        <v>1.0</v>
      </c>
      <c r="P35" s="14">
        <v>85.0</v>
      </c>
    </row>
    <row r="36">
      <c r="A36" s="6" t="s">
        <v>147</v>
      </c>
      <c r="B36" s="7" t="s">
        <v>413</v>
      </c>
      <c r="C36" s="7" t="s">
        <v>418</v>
      </c>
      <c r="D36" s="7" t="s">
        <v>26</v>
      </c>
      <c r="E36" s="7">
        <v>384058.422</v>
      </c>
      <c r="F36" s="7">
        <v>9892948.992</v>
      </c>
      <c r="G36" s="20" t="s">
        <v>148</v>
      </c>
      <c r="H36" s="20" t="s">
        <v>149</v>
      </c>
      <c r="I36" s="7" t="s">
        <v>332</v>
      </c>
      <c r="J36" s="7">
        <f t="shared" si="3"/>
        <v>1</v>
      </c>
      <c r="K36" s="21">
        <v>344.73</v>
      </c>
      <c r="L36" s="14">
        <v>137.0</v>
      </c>
      <c r="M36" s="14" t="s">
        <v>175</v>
      </c>
      <c r="N36" s="14">
        <v>145.0</v>
      </c>
      <c r="O36" s="14">
        <v>1.0</v>
      </c>
      <c r="P36" s="14">
        <v>125.0</v>
      </c>
    </row>
    <row r="37">
      <c r="A37" s="6" t="s">
        <v>150</v>
      </c>
      <c r="B37" s="7" t="s">
        <v>413</v>
      </c>
      <c r="C37" s="7" t="s">
        <v>418</v>
      </c>
      <c r="D37" s="7" t="s">
        <v>26</v>
      </c>
      <c r="E37" s="7">
        <v>383787.902</v>
      </c>
      <c r="F37" s="7">
        <v>9893126.394</v>
      </c>
      <c r="G37" s="20" t="s">
        <v>151</v>
      </c>
      <c r="H37" s="20" t="s">
        <v>152</v>
      </c>
      <c r="I37" s="7" t="s">
        <v>427</v>
      </c>
      <c r="J37" s="7">
        <f t="shared" si="3"/>
        <v>2</v>
      </c>
      <c r="K37" s="21">
        <v>323.492</v>
      </c>
      <c r="L37" s="14">
        <v>131.33</v>
      </c>
      <c r="M37" s="14" t="s">
        <v>175</v>
      </c>
      <c r="N37" s="14">
        <v>181.64</v>
      </c>
      <c r="O37" s="14">
        <v>1.0</v>
      </c>
      <c r="P37" s="14">
        <v>165.28</v>
      </c>
    </row>
    <row r="38">
      <c r="A38" s="6" t="s">
        <v>153</v>
      </c>
      <c r="B38" s="7" t="s">
        <v>418</v>
      </c>
      <c r="C38" s="7" t="s">
        <v>418</v>
      </c>
      <c r="D38" s="7" t="s">
        <v>26</v>
      </c>
      <c r="E38" s="7">
        <v>383525.819</v>
      </c>
      <c r="F38" s="7">
        <v>9893298.989</v>
      </c>
      <c r="G38" s="20" t="s">
        <v>154</v>
      </c>
      <c r="H38" s="20" t="s">
        <v>155</v>
      </c>
      <c r="I38" s="7" t="s">
        <v>332</v>
      </c>
      <c r="J38" s="7">
        <f t="shared" si="3"/>
        <v>1</v>
      </c>
      <c r="K38" s="21">
        <v>314.682</v>
      </c>
      <c r="L38" s="14">
        <v>137.61</v>
      </c>
      <c r="M38" s="14" t="s">
        <v>132</v>
      </c>
      <c r="N38" s="14">
        <v>291.0</v>
      </c>
      <c r="O38" s="14">
        <v>3.0</v>
      </c>
      <c r="P38" s="14">
        <v>261.68</v>
      </c>
    </row>
    <row r="39">
      <c r="A39" s="6" t="s">
        <v>156</v>
      </c>
      <c r="B39" s="7" t="s">
        <v>418</v>
      </c>
      <c r="C39" s="7" t="s">
        <v>418</v>
      </c>
      <c r="D39" s="7" t="s">
        <v>26</v>
      </c>
      <c r="E39" s="7">
        <v>383158.44</v>
      </c>
      <c r="F39" s="7">
        <v>9893326.001</v>
      </c>
      <c r="G39" s="20" t="s">
        <v>157</v>
      </c>
      <c r="H39" s="20" t="s">
        <v>158</v>
      </c>
      <c r="I39" s="7" t="s">
        <v>332</v>
      </c>
      <c r="J39" s="7">
        <f t="shared" si="3"/>
        <v>1</v>
      </c>
      <c r="K39" s="21">
        <v>367.347</v>
      </c>
      <c r="L39" s="14">
        <v>121.6</v>
      </c>
      <c r="M39" s="14" t="s">
        <v>175</v>
      </c>
      <c r="N39" s="14">
        <v>257.61</v>
      </c>
      <c r="O39" s="14">
        <v>1.0</v>
      </c>
      <c r="P39" s="14">
        <v>229.36</v>
      </c>
    </row>
    <row r="40">
      <c r="A40" s="6" t="s">
        <v>159</v>
      </c>
      <c r="B40" s="7" t="s">
        <v>418</v>
      </c>
      <c r="C40" s="7" t="s">
        <v>418</v>
      </c>
      <c r="D40" s="7" t="s">
        <v>26</v>
      </c>
      <c r="E40" s="7">
        <v>382850.369</v>
      </c>
      <c r="F40" s="7">
        <v>9893348.634</v>
      </c>
      <c r="G40" s="20" t="s">
        <v>160</v>
      </c>
      <c r="H40" s="20" t="s">
        <v>161</v>
      </c>
      <c r="I40" s="7" t="s">
        <v>437</v>
      </c>
      <c r="J40" s="7">
        <f t="shared" si="3"/>
        <v>1</v>
      </c>
      <c r="K40" s="21">
        <v>308.893</v>
      </c>
      <c r="L40" s="14">
        <v>108.88</v>
      </c>
      <c r="M40" s="14" t="s">
        <v>109</v>
      </c>
      <c r="N40" s="14">
        <v>131.51</v>
      </c>
      <c r="O40" s="14">
        <v>2.0</v>
      </c>
      <c r="P40" s="14">
        <v>84.74</v>
      </c>
    </row>
    <row r="41">
      <c r="A41" s="6" t="s">
        <v>162</v>
      </c>
      <c r="B41" s="7" t="s">
        <v>440</v>
      </c>
      <c r="C41" s="7" t="s">
        <v>418</v>
      </c>
      <c r="D41" s="7" t="s">
        <v>26</v>
      </c>
      <c r="E41" s="7">
        <v>382453.139</v>
      </c>
      <c r="F41" s="7">
        <v>9893303.136</v>
      </c>
      <c r="G41" s="20" t="s">
        <v>163</v>
      </c>
      <c r="H41" s="20" t="s">
        <v>164</v>
      </c>
      <c r="I41" s="7" t="s">
        <v>332</v>
      </c>
      <c r="J41" s="7">
        <f t="shared" si="3"/>
        <v>1</v>
      </c>
      <c r="K41" s="21">
        <v>399.835</v>
      </c>
      <c r="L41" s="14">
        <v>105.81</v>
      </c>
      <c r="M41" s="14" t="s">
        <v>175</v>
      </c>
      <c r="N41" s="14">
        <v>190.0</v>
      </c>
      <c r="O41" s="14">
        <v>1.0</v>
      </c>
      <c r="P41" s="14">
        <v>209.46</v>
      </c>
    </row>
    <row r="42">
      <c r="A42" s="6" t="s">
        <v>165</v>
      </c>
      <c r="B42" s="7" t="s">
        <v>440</v>
      </c>
      <c r="C42" s="7" t="s">
        <v>418</v>
      </c>
      <c r="D42" s="7" t="s">
        <v>26</v>
      </c>
      <c r="E42" s="7">
        <v>382142.454</v>
      </c>
      <c r="F42" s="7">
        <v>9893267.502</v>
      </c>
      <c r="G42" s="20" t="s">
        <v>166</v>
      </c>
      <c r="H42" s="20" t="s">
        <v>167</v>
      </c>
      <c r="I42" s="7" t="s">
        <v>332</v>
      </c>
      <c r="J42" s="7">
        <f t="shared" si="3"/>
        <v>1</v>
      </c>
      <c r="K42" s="21">
        <v>312.737</v>
      </c>
      <c r="L42" s="14">
        <v>106.95</v>
      </c>
      <c r="M42" s="14" t="s">
        <v>109</v>
      </c>
      <c r="N42" s="14">
        <v>509.0</v>
      </c>
      <c r="O42" s="14">
        <v>2.0</v>
      </c>
      <c r="P42" s="14">
        <v>308.76</v>
      </c>
    </row>
    <row r="43">
      <c r="A43" s="6" t="s">
        <v>169</v>
      </c>
      <c r="B43" s="7" t="s">
        <v>444</v>
      </c>
      <c r="C43" s="7" t="s">
        <v>418</v>
      </c>
      <c r="D43" s="7" t="s">
        <v>26</v>
      </c>
      <c r="E43" s="7">
        <v>381838.946</v>
      </c>
      <c r="F43" s="7">
        <v>9893163.003</v>
      </c>
      <c r="G43" s="20" t="s">
        <v>170</v>
      </c>
      <c r="H43" s="20" t="s">
        <v>171</v>
      </c>
      <c r="I43" s="7" t="s">
        <v>420</v>
      </c>
      <c r="J43" s="7">
        <f t="shared" si="3"/>
        <v>3</v>
      </c>
      <c r="K43" s="21">
        <v>320.956</v>
      </c>
      <c r="L43" s="14">
        <v>109.43</v>
      </c>
      <c r="M43" s="14" t="s">
        <v>132</v>
      </c>
      <c r="N43" s="14">
        <v>787.89</v>
      </c>
      <c r="O43" s="14">
        <v>3.0</v>
      </c>
      <c r="P43" s="14">
        <v>415.0</v>
      </c>
    </row>
    <row r="44">
      <c r="A44" s="6" t="s">
        <v>172</v>
      </c>
      <c r="B44" s="7" t="s">
        <v>444</v>
      </c>
      <c r="C44" s="7" t="s">
        <v>418</v>
      </c>
      <c r="D44" s="7" t="s">
        <v>26</v>
      </c>
      <c r="E44" s="7">
        <v>381606.615</v>
      </c>
      <c r="F44" s="7">
        <v>9892949.731</v>
      </c>
      <c r="G44" s="20" t="s">
        <v>173</v>
      </c>
      <c r="H44" s="20" t="s">
        <v>174</v>
      </c>
      <c r="I44" s="7" t="s">
        <v>445</v>
      </c>
      <c r="J44" s="7">
        <f t="shared" si="3"/>
        <v>3</v>
      </c>
      <c r="K44" s="21">
        <v>315.417</v>
      </c>
      <c r="L44" s="14">
        <v>103.43</v>
      </c>
      <c r="M44" s="14" t="s">
        <v>175</v>
      </c>
      <c r="N44" s="14">
        <v>672.0</v>
      </c>
      <c r="O44" s="14">
        <v>1.0</v>
      </c>
      <c r="P44" s="14">
        <v>448.43</v>
      </c>
    </row>
    <row r="45">
      <c r="A45" s="6" t="s">
        <v>176</v>
      </c>
      <c r="B45" s="7" t="s">
        <v>444</v>
      </c>
      <c r="C45" s="7" t="s">
        <v>418</v>
      </c>
      <c r="D45" s="7" t="s">
        <v>26</v>
      </c>
      <c r="E45" s="7">
        <v>381327.251</v>
      </c>
      <c r="F45" s="7">
        <v>9892693.343</v>
      </c>
      <c r="G45" s="20" t="s">
        <v>177</v>
      </c>
      <c r="H45" s="20" t="s">
        <v>178</v>
      </c>
      <c r="I45" s="7" t="s">
        <v>445</v>
      </c>
      <c r="J45" s="7">
        <f t="shared" si="3"/>
        <v>3</v>
      </c>
      <c r="K45" s="21">
        <v>379.168</v>
      </c>
      <c r="L45" s="14">
        <v>115.83</v>
      </c>
      <c r="M45" s="14" t="s">
        <v>132</v>
      </c>
      <c r="N45" s="14">
        <v>429.72</v>
      </c>
      <c r="O45" s="14">
        <v>3.0</v>
      </c>
      <c r="P45" s="14">
        <v>300.77</v>
      </c>
    </row>
    <row r="46">
      <c r="A46" s="6" t="s">
        <v>179</v>
      </c>
      <c r="B46" s="7" t="s">
        <v>444</v>
      </c>
      <c r="C46" s="7" t="s">
        <v>418</v>
      </c>
      <c r="D46" s="7" t="s">
        <v>26</v>
      </c>
      <c r="E46" s="7">
        <v>380911.496</v>
      </c>
      <c r="F46" s="7">
        <v>9892633.034</v>
      </c>
      <c r="G46" s="20" t="s">
        <v>180</v>
      </c>
      <c r="H46" s="20" t="s">
        <v>181</v>
      </c>
      <c r="I46" s="7" t="s">
        <v>445</v>
      </c>
      <c r="J46" s="7">
        <f t="shared" si="3"/>
        <v>3</v>
      </c>
      <c r="K46" s="21">
        <v>419.996</v>
      </c>
      <c r="L46" s="14">
        <v>116.93</v>
      </c>
      <c r="M46" s="14" t="s">
        <v>175</v>
      </c>
      <c r="N46" s="14">
        <v>264.11</v>
      </c>
      <c r="O46" s="14">
        <v>1.0</v>
      </c>
      <c r="P46" s="14">
        <v>15.0</v>
      </c>
    </row>
    <row r="47">
      <c r="A47" s="6" t="s">
        <v>182</v>
      </c>
      <c r="B47" s="7" t="s">
        <v>444</v>
      </c>
      <c r="C47" s="7" t="s">
        <v>418</v>
      </c>
      <c r="D47" s="7" t="s">
        <v>26</v>
      </c>
      <c r="E47" s="7">
        <v>380535.482</v>
      </c>
      <c r="F47" s="7">
        <v>9892578.172</v>
      </c>
      <c r="G47" s="20" t="s">
        <v>183</v>
      </c>
      <c r="H47" s="20" t="s">
        <v>184</v>
      </c>
      <c r="I47" s="7" t="s">
        <v>445</v>
      </c>
      <c r="J47" s="7">
        <f t="shared" si="3"/>
        <v>3</v>
      </c>
      <c r="K47" s="21">
        <v>380.04</v>
      </c>
      <c r="L47" s="14">
        <v>120.78</v>
      </c>
      <c r="M47" s="14" t="s">
        <v>175</v>
      </c>
      <c r="N47" s="14">
        <v>652.79</v>
      </c>
      <c r="O47" s="14">
        <v>1.0</v>
      </c>
      <c r="P47" s="14">
        <v>247.96</v>
      </c>
    </row>
    <row r="48">
      <c r="A48" s="6" t="s">
        <v>185</v>
      </c>
      <c r="B48" s="7" t="s">
        <v>444</v>
      </c>
      <c r="C48" s="7" t="s">
        <v>418</v>
      </c>
      <c r="D48" s="7" t="s">
        <v>26</v>
      </c>
      <c r="E48" s="7">
        <v>380079.405</v>
      </c>
      <c r="F48" s="7">
        <v>9892511.912</v>
      </c>
      <c r="G48" s="20" t="s">
        <v>186</v>
      </c>
      <c r="H48" s="20" t="s">
        <v>187</v>
      </c>
      <c r="I48" s="7" t="s">
        <v>445</v>
      </c>
      <c r="J48" s="7">
        <f t="shared" si="3"/>
        <v>3</v>
      </c>
      <c r="K48" s="21">
        <v>460.913</v>
      </c>
      <c r="L48" s="14">
        <v>126.67</v>
      </c>
      <c r="M48" s="14" t="s">
        <v>132</v>
      </c>
      <c r="N48" s="14">
        <v>385.11</v>
      </c>
      <c r="O48" s="14">
        <v>3.0</v>
      </c>
      <c r="P48" s="14">
        <v>298.59</v>
      </c>
    </row>
    <row r="49">
      <c r="A49" s="6" t="s">
        <v>188</v>
      </c>
      <c r="B49" s="7" t="s">
        <v>444</v>
      </c>
      <c r="C49" s="7" t="s">
        <v>418</v>
      </c>
      <c r="D49" s="7" t="s">
        <v>26</v>
      </c>
      <c r="E49" s="7">
        <v>379809.939</v>
      </c>
      <c r="F49" s="7">
        <v>9892642.379</v>
      </c>
      <c r="G49" s="20" t="s">
        <v>189</v>
      </c>
      <c r="H49" s="20" t="s">
        <v>190</v>
      </c>
      <c r="I49" s="7" t="s">
        <v>445</v>
      </c>
      <c r="J49" s="7">
        <f t="shared" si="3"/>
        <v>3</v>
      </c>
      <c r="K49" s="21">
        <v>299.469</v>
      </c>
      <c r="L49" s="14">
        <v>121.15</v>
      </c>
      <c r="M49" s="14" t="s">
        <v>175</v>
      </c>
      <c r="N49" s="14">
        <v>340.2</v>
      </c>
      <c r="O49" s="14">
        <v>1.0</v>
      </c>
      <c r="P49" s="14">
        <v>50.93</v>
      </c>
    </row>
    <row r="50">
      <c r="A50" s="6" t="s">
        <v>191</v>
      </c>
      <c r="B50" s="7" t="s">
        <v>444</v>
      </c>
      <c r="C50" s="7" t="s">
        <v>418</v>
      </c>
      <c r="D50" s="7" t="s">
        <v>26</v>
      </c>
      <c r="E50" s="7">
        <v>379468.719</v>
      </c>
      <c r="F50" s="7">
        <v>9892807.713</v>
      </c>
      <c r="G50" s="20" t="s">
        <v>192</v>
      </c>
      <c r="H50" s="20" t="s">
        <v>193</v>
      </c>
      <c r="I50" s="7" t="s">
        <v>448</v>
      </c>
      <c r="J50" s="7">
        <f t="shared" si="3"/>
        <v>2</v>
      </c>
      <c r="K50" s="21">
        <v>379.123</v>
      </c>
      <c r="L50" s="14">
        <v>122.95</v>
      </c>
      <c r="M50" s="14" t="s">
        <v>175</v>
      </c>
      <c r="N50" s="14">
        <v>120.0</v>
      </c>
      <c r="O50" s="14">
        <v>1.0</v>
      </c>
      <c r="P50" s="14">
        <v>200.0</v>
      </c>
    </row>
    <row r="51">
      <c r="A51" s="6" t="s">
        <v>194</v>
      </c>
      <c r="B51" s="7" t="s">
        <v>444</v>
      </c>
      <c r="C51" s="7" t="s">
        <v>418</v>
      </c>
      <c r="D51" s="7" t="s">
        <v>26</v>
      </c>
      <c r="E51" s="7">
        <v>379133.978</v>
      </c>
      <c r="F51" s="7">
        <v>9892969.905</v>
      </c>
      <c r="G51" s="20" t="s">
        <v>195</v>
      </c>
      <c r="H51" s="20" t="s">
        <v>196</v>
      </c>
      <c r="I51" s="7" t="s">
        <v>448</v>
      </c>
      <c r="J51" s="7">
        <f t="shared" si="3"/>
        <v>2</v>
      </c>
      <c r="K51" s="21">
        <v>372.013</v>
      </c>
      <c r="L51" s="14">
        <v>126.99</v>
      </c>
      <c r="M51" s="14" t="s">
        <v>175</v>
      </c>
      <c r="N51" s="14">
        <v>95.06</v>
      </c>
      <c r="O51" s="14">
        <v>1.0</v>
      </c>
      <c r="P51" s="14">
        <v>315.0</v>
      </c>
    </row>
    <row r="52">
      <c r="A52" s="6" t="s">
        <v>197</v>
      </c>
      <c r="B52" s="7" t="s">
        <v>444</v>
      </c>
      <c r="C52" s="7" t="s">
        <v>418</v>
      </c>
      <c r="D52" s="7" t="s">
        <v>26</v>
      </c>
      <c r="E52" s="7">
        <v>378782.051</v>
      </c>
      <c r="F52" s="7">
        <v>9893140.294</v>
      </c>
      <c r="G52" s="20" t="s">
        <v>198</v>
      </c>
      <c r="H52" s="20" t="s">
        <v>199</v>
      </c>
      <c r="I52" s="7" t="s">
        <v>450</v>
      </c>
      <c r="J52" s="7">
        <v>2.0</v>
      </c>
      <c r="K52" s="21">
        <v>391.003</v>
      </c>
      <c r="L52" s="14">
        <v>133.79</v>
      </c>
      <c r="M52" s="14" t="s">
        <v>175</v>
      </c>
      <c r="N52" s="14">
        <v>119.57</v>
      </c>
      <c r="O52" s="14">
        <v>1.0</v>
      </c>
      <c r="P52" s="14">
        <v>2296.28</v>
      </c>
    </row>
    <row r="53">
      <c r="A53" s="6" t="s">
        <v>200</v>
      </c>
      <c r="B53" s="7" t="s">
        <v>451</v>
      </c>
      <c r="C53" s="7" t="s">
        <v>418</v>
      </c>
      <c r="D53" s="7" t="s">
        <v>26</v>
      </c>
      <c r="E53" s="7">
        <v>378421.315</v>
      </c>
      <c r="F53" s="7">
        <v>9893315.065</v>
      </c>
      <c r="G53" s="20" t="s">
        <v>201</v>
      </c>
      <c r="H53" s="20" t="s">
        <v>202</v>
      </c>
      <c r="I53" s="7" t="s">
        <v>452</v>
      </c>
      <c r="J53" s="7">
        <v>3.0</v>
      </c>
      <c r="K53" s="21">
        <v>400.823</v>
      </c>
      <c r="L53" s="14">
        <v>140.67</v>
      </c>
      <c r="M53" s="14" t="s">
        <v>175</v>
      </c>
      <c r="N53" s="14">
        <v>182.8</v>
      </c>
      <c r="O53" s="14">
        <v>1.0</v>
      </c>
      <c r="P53" s="14">
        <v>1953.63</v>
      </c>
    </row>
    <row r="54">
      <c r="A54" s="6" t="s">
        <v>203</v>
      </c>
      <c r="B54" s="7" t="s">
        <v>451</v>
      </c>
      <c r="C54" s="7" t="s">
        <v>418</v>
      </c>
      <c r="D54" s="7" t="s">
        <v>26</v>
      </c>
      <c r="E54" s="7">
        <v>378145.729</v>
      </c>
      <c r="F54" s="7">
        <v>9893448.561</v>
      </c>
      <c r="G54" s="20" t="s">
        <v>204</v>
      </c>
      <c r="H54" s="20" t="s">
        <v>205</v>
      </c>
      <c r="I54" s="7" t="s">
        <v>452</v>
      </c>
      <c r="J54" s="7">
        <v>3.0</v>
      </c>
      <c r="K54" s="21">
        <v>306.171</v>
      </c>
      <c r="L54" s="14">
        <v>145.69</v>
      </c>
      <c r="M54" s="14" t="s">
        <v>175</v>
      </c>
      <c r="N54" s="14">
        <v>193.17</v>
      </c>
      <c r="O54" s="14">
        <v>1.0</v>
      </c>
      <c r="P54" s="14">
        <v>1417.18</v>
      </c>
    </row>
    <row r="55">
      <c r="A55" s="6" t="s">
        <v>206</v>
      </c>
      <c r="B55" s="7" t="s">
        <v>453</v>
      </c>
      <c r="C55" s="7" t="s">
        <v>418</v>
      </c>
      <c r="D55" s="7" t="s">
        <v>26</v>
      </c>
      <c r="E55" s="7">
        <v>377818.297</v>
      </c>
      <c r="F55" s="7">
        <v>9893607.14</v>
      </c>
      <c r="G55" s="20" t="s">
        <v>207</v>
      </c>
      <c r="H55" s="20" t="s">
        <v>208</v>
      </c>
      <c r="I55" s="7" t="s">
        <v>455</v>
      </c>
      <c r="J55" s="7">
        <f t="shared" ref="J55:J66" si="4">IFS(I55="hutan",1,I55="hutan, sungai",1,I55="pekarangan",3,I55="hutan, jalan desa",2,I55="hutan, kebun sawit",3,I55="hutan, jalan",2,I55="sawah",2,I55="kebun",2,I55="sawah, kebun",3,I55="kebun sawit",3,I55="Lahan GI",1,I55="kebun sawit, jalan provinsi",3,I55="lahan kosong",1,I55="kebun, lahan kosong",2,I55="jalan desa, kebun sawit",3,I55="sungai",1)</f>
        <v>3</v>
      </c>
      <c r="K55" s="21">
        <v>363.771</v>
      </c>
      <c r="L55" s="14">
        <v>154.16</v>
      </c>
      <c r="M55" s="14" t="s">
        <v>175</v>
      </c>
      <c r="N55" s="14">
        <v>272.22</v>
      </c>
      <c r="O55" s="14">
        <v>1.0</v>
      </c>
      <c r="P55" s="14">
        <v>1113.09</v>
      </c>
    </row>
    <row r="56">
      <c r="A56" s="6" t="s">
        <v>209</v>
      </c>
      <c r="B56" s="7" t="s">
        <v>453</v>
      </c>
      <c r="C56" s="7" t="s">
        <v>418</v>
      </c>
      <c r="D56" s="7" t="s">
        <v>26</v>
      </c>
      <c r="E56" s="7">
        <v>377517.426</v>
      </c>
      <c r="F56" s="7">
        <v>9893752.786</v>
      </c>
      <c r="G56" s="20" t="s">
        <v>210</v>
      </c>
      <c r="H56" s="20" t="s">
        <v>211</v>
      </c>
      <c r="I56" s="7" t="s">
        <v>445</v>
      </c>
      <c r="J56" s="7">
        <f t="shared" si="4"/>
        <v>3</v>
      </c>
      <c r="K56" s="21">
        <v>333.846</v>
      </c>
      <c r="L56" s="14">
        <v>162.67</v>
      </c>
      <c r="M56" s="14" t="s">
        <v>109</v>
      </c>
      <c r="N56" s="14">
        <v>246.59</v>
      </c>
      <c r="O56" s="14">
        <v>2.0</v>
      </c>
      <c r="P56" s="14">
        <v>814.57</v>
      </c>
    </row>
    <row r="57">
      <c r="A57" s="6" t="s">
        <v>212</v>
      </c>
      <c r="B57" s="7" t="s">
        <v>453</v>
      </c>
      <c r="C57" s="7" t="s">
        <v>418</v>
      </c>
      <c r="D57" s="7" t="s">
        <v>26</v>
      </c>
      <c r="E57" s="7">
        <v>377196.23</v>
      </c>
      <c r="F57" s="7">
        <v>9894011.562</v>
      </c>
      <c r="G57" s="20" t="s">
        <v>213</v>
      </c>
      <c r="H57" s="20" t="s">
        <v>214</v>
      </c>
      <c r="I57" s="7" t="s">
        <v>445</v>
      </c>
      <c r="J57" s="7">
        <f t="shared" si="4"/>
        <v>3</v>
      </c>
      <c r="K57" s="21">
        <v>412.873</v>
      </c>
      <c r="L57" s="14">
        <v>172.83</v>
      </c>
      <c r="M57" s="14" t="s">
        <v>109</v>
      </c>
      <c r="N57" s="14">
        <v>552.56</v>
      </c>
      <c r="O57" s="14">
        <v>2.0</v>
      </c>
      <c r="P57" s="14">
        <v>482.45</v>
      </c>
    </row>
    <row r="58">
      <c r="A58" s="6" t="s">
        <v>215</v>
      </c>
      <c r="B58" s="7" t="s">
        <v>458</v>
      </c>
      <c r="C58" s="7" t="s">
        <v>418</v>
      </c>
      <c r="D58" s="7" t="s">
        <v>26</v>
      </c>
      <c r="E58" s="7">
        <v>376981.942</v>
      </c>
      <c r="F58" s="7">
        <v>9894349.898</v>
      </c>
      <c r="G58" s="20" t="s">
        <v>216</v>
      </c>
      <c r="H58" s="20" t="s">
        <v>218</v>
      </c>
      <c r="I58" s="7" t="s">
        <v>445</v>
      </c>
      <c r="J58" s="7">
        <f t="shared" si="4"/>
        <v>3</v>
      </c>
      <c r="K58" s="21">
        <v>399.995</v>
      </c>
      <c r="L58" s="14">
        <v>169.52</v>
      </c>
      <c r="M58" s="14" t="s">
        <v>175</v>
      </c>
      <c r="N58" s="14">
        <v>910.33</v>
      </c>
      <c r="O58" s="14">
        <v>1.0</v>
      </c>
      <c r="P58" s="14">
        <v>100.75</v>
      </c>
    </row>
    <row r="59">
      <c r="A59" s="6" t="s">
        <v>219</v>
      </c>
      <c r="B59" s="7" t="s">
        <v>460</v>
      </c>
      <c r="C59" s="7" t="s">
        <v>461</v>
      </c>
      <c r="D59" s="7" t="s">
        <v>26</v>
      </c>
      <c r="E59" s="7">
        <v>376796.357</v>
      </c>
      <c r="F59" s="7">
        <v>9894643.116</v>
      </c>
      <c r="G59" s="20" t="s">
        <v>220</v>
      </c>
      <c r="H59" s="20" t="s">
        <v>221</v>
      </c>
      <c r="I59" s="7" t="s">
        <v>462</v>
      </c>
      <c r="J59" s="7">
        <f t="shared" si="4"/>
        <v>1</v>
      </c>
      <c r="K59" s="21">
        <v>347.98</v>
      </c>
      <c r="L59" s="14">
        <v>173.22</v>
      </c>
      <c r="M59" s="14" t="s">
        <v>175</v>
      </c>
      <c r="N59" s="14">
        <v>893.63</v>
      </c>
      <c r="O59" s="14">
        <v>1.0</v>
      </c>
      <c r="P59" s="14">
        <v>240.12</v>
      </c>
    </row>
    <row r="60">
      <c r="A60" s="6" t="s">
        <v>222</v>
      </c>
      <c r="B60" s="7" t="s">
        <v>460</v>
      </c>
      <c r="C60" s="7" t="s">
        <v>461</v>
      </c>
      <c r="D60" s="7" t="s">
        <v>26</v>
      </c>
      <c r="E60" s="7">
        <v>376610.917</v>
      </c>
      <c r="F60" s="7">
        <v>9894936.876</v>
      </c>
      <c r="G60" s="20" t="s">
        <v>223</v>
      </c>
      <c r="H60" s="20" t="s">
        <v>224</v>
      </c>
      <c r="I60" s="7" t="s">
        <v>445</v>
      </c>
      <c r="J60" s="7">
        <f t="shared" si="4"/>
        <v>3</v>
      </c>
      <c r="K60" s="21">
        <v>346.637</v>
      </c>
      <c r="L60" s="14">
        <v>179.15</v>
      </c>
      <c r="M60" s="14" t="s">
        <v>463</v>
      </c>
      <c r="N60" s="14">
        <v>492.15</v>
      </c>
      <c r="O60" s="14">
        <v>3.0</v>
      </c>
      <c r="P60" s="14">
        <v>522.24</v>
      </c>
    </row>
    <row r="61">
      <c r="A61" s="6" t="s">
        <v>225</v>
      </c>
      <c r="B61" s="7" t="s">
        <v>460</v>
      </c>
      <c r="C61" s="7" t="s">
        <v>461</v>
      </c>
      <c r="D61" s="7" t="s">
        <v>26</v>
      </c>
      <c r="E61" s="7">
        <v>376646.726</v>
      </c>
      <c r="F61" s="7">
        <v>9895221.898</v>
      </c>
      <c r="G61" s="20" t="s">
        <v>226</v>
      </c>
      <c r="H61" s="20" t="s">
        <v>227</v>
      </c>
      <c r="I61" s="7" t="s">
        <v>445</v>
      </c>
      <c r="J61" s="7">
        <f t="shared" si="4"/>
        <v>3</v>
      </c>
      <c r="K61" s="21">
        <v>287.379</v>
      </c>
      <c r="L61" s="14">
        <v>176.48</v>
      </c>
      <c r="M61" s="14" t="s">
        <v>109</v>
      </c>
      <c r="N61" s="14">
        <v>175.26</v>
      </c>
      <c r="O61" s="14">
        <v>2.0</v>
      </c>
      <c r="P61" s="14">
        <v>782.84</v>
      </c>
    </row>
    <row r="62">
      <c r="A62" s="6" t="s">
        <v>228</v>
      </c>
      <c r="B62" s="7" t="s">
        <v>460</v>
      </c>
      <c r="C62" s="7" t="s">
        <v>461</v>
      </c>
      <c r="D62" s="7" t="s">
        <v>26</v>
      </c>
      <c r="E62" s="7">
        <v>376781.075</v>
      </c>
      <c r="F62" s="7">
        <v>9895510.951</v>
      </c>
      <c r="G62" s="20" t="s">
        <v>229</v>
      </c>
      <c r="H62" s="20" t="s">
        <v>230</v>
      </c>
      <c r="I62" s="7" t="s">
        <v>445</v>
      </c>
      <c r="J62" s="7">
        <f t="shared" si="4"/>
        <v>3</v>
      </c>
      <c r="K62" s="21">
        <v>318.78</v>
      </c>
      <c r="L62" s="14">
        <v>167.39</v>
      </c>
      <c r="M62" s="14" t="s">
        <v>109</v>
      </c>
      <c r="N62" s="14">
        <v>47.66</v>
      </c>
      <c r="O62" s="14">
        <v>2.0</v>
      </c>
      <c r="P62" s="14">
        <v>1051.96</v>
      </c>
    </row>
    <row r="63">
      <c r="A63" s="6" t="s">
        <v>231</v>
      </c>
      <c r="B63" s="7" t="s">
        <v>460</v>
      </c>
      <c r="C63" s="7" t="s">
        <v>461</v>
      </c>
      <c r="D63" s="7" t="s">
        <v>26</v>
      </c>
      <c r="E63" s="7">
        <v>376980.306</v>
      </c>
      <c r="F63" s="7">
        <v>9895778.263</v>
      </c>
      <c r="G63" s="20" t="s">
        <v>233</v>
      </c>
      <c r="H63" s="20" t="s">
        <v>234</v>
      </c>
      <c r="I63" s="7" t="s">
        <v>445</v>
      </c>
      <c r="J63" s="7">
        <f t="shared" si="4"/>
        <v>3</v>
      </c>
      <c r="K63" s="21">
        <v>333.356</v>
      </c>
      <c r="L63" s="14">
        <v>161.75</v>
      </c>
      <c r="M63" s="14" t="s">
        <v>175</v>
      </c>
      <c r="N63" s="14">
        <v>44.96</v>
      </c>
      <c r="O63" s="14">
        <v>1.0</v>
      </c>
      <c r="P63" s="14">
        <v>796.44</v>
      </c>
    </row>
    <row r="64">
      <c r="A64" s="6" t="s">
        <v>235</v>
      </c>
      <c r="B64" s="7" t="s">
        <v>460</v>
      </c>
      <c r="C64" s="7" t="s">
        <v>461</v>
      </c>
      <c r="D64" s="7" t="s">
        <v>26</v>
      </c>
      <c r="E64" s="7">
        <v>377182.307</v>
      </c>
      <c r="F64" s="7">
        <v>9896049.096</v>
      </c>
      <c r="G64" s="20" t="s">
        <v>236</v>
      </c>
      <c r="H64" s="20" t="s">
        <v>237</v>
      </c>
      <c r="I64" s="7" t="s">
        <v>445</v>
      </c>
      <c r="J64" s="7">
        <f t="shared" si="4"/>
        <v>3</v>
      </c>
      <c r="K64" s="21">
        <v>337.886</v>
      </c>
      <c r="L64" s="14">
        <v>151.5</v>
      </c>
      <c r="M64" s="14" t="s">
        <v>175</v>
      </c>
      <c r="N64" s="14">
        <v>31.84</v>
      </c>
      <c r="O64" s="14">
        <v>1.0</v>
      </c>
      <c r="P64" s="14">
        <v>984.32</v>
      </c>
    </row>
    <row r="65">
      <c r="A65" s="6" t="s">
        <v>238</v>
      </c>
      <c r="B65" s="7" t="s">
        <v>465</v>
      </c>
      <c r="C65" s="7" t="s">
        <v>461</v>
      </c>
      <c r="D65" s="7" t="s">
        <v>26</v>
      </c>
      <c r="E65" s="7">
        <v>377391.367</v>
      </c>
      <c r="F65" s="7">
        <v>9896329.57</v>
      </c>
      <c r="G65" s="20" t="s">
        <v>239</v>
      </c>
      <c r="H65" s="20" t="s">
        <v>240</v>
      </c>
      <c r="I65" s="7" t="s">
        <v>466</v>
      </c>
      <c r="J65" s="7">
        <f t="shared" si="4"/>
        <v>3</v>
      </c>
      <c r="K65" s="21">
        <v>349.751</v>
      </c>
      <c r="L65" s="14">
        <v>142.86</v>
      </c>
      <c r="M65" s="14" t="s">
        <v>109</v>
      </c>
      <c r="N65" s="14">
        <v>34.39</v>
      </c>
      <c r="O65" s="14">
        <v>1.0</v>
      </c>
      <c r="P65" s="14">
        <v>1042.22</v>
      </c>
    </row>
    <row r="66">
      <c r="A66" s="6" t="s">
        <v>241</v>
      </c>
      <c r="B66" s="7" t="s">
        <v>465</v>
      </c>
      <c r="C66" s="7" t="s">
        <v>461</v>
      </c>
      <c r="D66" s="7" t="s">
        <v>26</v>
      </c>
      <c r="E66" s="7">
        <v>377511.56</v>
      </c>
      <c r="F66" s="7">
        <v>9896603.119</v>
      </c>
      <c r="G66" s="20" t="s">
        <v>242</v>
      </c>
      <c r="H66" s="20" t="s">
        <v>243</v>
      </c>
      <c r="I66" s="7" t="s">
        <v>466</v>
      </c>
      <c r="J66" s="7">
        <f t="shared" si="4"/>
        <v>3</v>
      </c>
      <c r="K66" s="21">
        <v>298.841</v>
      </c>
      <c r="L66" s="14">
        <v>133.89</v>
      </c>
      <c r="M66" s="14" t="s">
        <v>463</v>
      </c>
      <c r="N66" s="14">
        <v>40.27</v>
      </c>
      <c r="O66" s="14">
        <v>2.0</v>
      </c>
      <c r="P66" s="14">
        <v>1231.06</v>
      </c>
    </row>
    <row r="67">
      <c r="A67" s="6" t="s">
        <v>245</v>
      </c>
      <c r="B67" s="7" t="s">
        <v>465</v>
      </c>
      <c r="C67" s="7" t="s">
        <v>461</v>
      </c>
      <c r="D67" s="7" t="s">
        <v>26</v>
      </c>
      <c r="E67" s="7">
        <v>377415.93</v>
      </c>
      <c r="F67" s="7">
        <v>9896886.231</v>
      </c>
      <c r="G67" s="20" t="s">
        <v>246</v>
      </c>
      <c r="H67" s="20" t="s">
        <v>247</v>
      </c>
      <c r="I67" s="7" t="s">
        <v>452</v>
      </c>
      <c r="J67" s="7">
        <v>3.0</v>
      </c>
      <c r="K67" s="21">
        <v>308.597</v>
      </c>
      <c r="L67" s="14">
        <v>131.57</v>
      </c>
      <c r="M67" s="14" t="s">
        <v>132</v>
      </c>
      <c r="N67" s="14">
        <v>29.43</v>
      </c>
      <c r="O67" s="14">
        <v>2.0</v>
      </c>
      <c r="P67" s="14">
        <v>1418.06</v>
      </c>
    </row>
    <row r="68">
      <c r="A68" s="6" t="s">
        <v>248</v>
      </c>
      <c r="B68" s="7" t="s">
        <v>467</v>
      </c>
      <c r="C68" s="7" t="s">
        <v>461</v>
      </c>
      <c r="D68" s="7" t="s">
        <v>26</v>
      </c>
      <c r="E68" s="7">
        <v>377142.08</v>
      </c>
      <c r="F68" s="7">
        <v>9897136.716</v>
      </c>
      <c r="G68" s="20" t="s">
        <v>249</v>
      </c>
      <c r="H68" s="20" t="s">
        <v>250</v>
      </c>
      <c r="I68" s="7" t="s">
        <v>470</v>
      </c>
      <c r="J68" s="7">
        <f t="shared" ref="J68:J114" si="5">IFS(I68="hutan",1,I68="hutan, sungai",1,I68="pekarangan",3,I68="hutan, jalan desa",2,I68="hutan, kebun sawit",3,I68="hutan, jalan",2,I68="sawah",2,I68="kebun",2,I68="sawah, kebun",3,I68="kebun sawit",3,I68="Lahan GI",1,I68="kebun sawit, jalan provinsi",3,I68="lahan kosong",1,I68="kebun, lahan kosong",2,I68="jalan desa, kebun sawit",3,I68="sungai",1)</f>
        <v>2</v>
      </c>
      <c r="K68" s="21">
        <v>331.696</v>
      </c>
      <c r="L68" s="14">
        <v>123.89</v>
      </c>
      <c r="M68" s="14" t="s">
        <v>175</v>
      </c>
      <c r="N68" s="14">
        <v>48.15</v>
      </c>
      <c r="O68" s="14">
        <v>1.0</v>
      </c>
      <c r="P68" s="14">
        <v>1554.84</v>
      </c>
    </row>
    <row r="69">
      <c r="A69" s="6" t="s">
        <v>251</v>
      </c>
      <c r="B69" s="7" t="s">
        <v>467</v>
      </c>
      <c r="C69" s="7" t="s">
        <v>461</v>
      </c>
      <c r="D69" s="7" t="s">
        <v>26</v>
      </c>
      <c r="E69" s="7">
        <v>376942.892</v>
      </c>
      <c r="F69" s="7">
        <v>9897305.644</v>
      </c>
      <c r="G69" s="20" t="s">
        <v>252</v>
      </c>
      <c r="H69" s="20" t="s">
        <v>253</v>
      </c>
      <c r="I69" s="7" t="s">
        <v>470</v>
      </c>
      <c r="J69" s="7">
        <f t="shared" si="5"/>
        <v>2</v>
      </c>
      <c r="K69" s="21">
        <v>372.224</v>
      </c>
      <c r="L69" s="14">
        <v>125.01</v>
      </c>
      <c r="M69" s="14" t="s">
        <v>175</v>
      </c>
      <c r="N69" s="14">
        <v>46.15</v>
      </c>
      <c r="O69" s="14">
        <v>1.0</v>
      </c>
      <c r="P69" s="14">
        <v>2023.7</v>
      </c>
    </row>
    <row r="70">
      <c r="A70" s="6" t="s">
        <v>254</v>
      </c>
      <c r="B70" s="7" t="s">
        <v>467</v>
      </c>
      <c r="C70" s="7" t="s">
        <v>461</v>
      </c>
      <c r="D70" s="7" t="s">
        <v>26</v>
      </c>
      <c r="E70" s="7">
        <v>376663.573</v>
      </c>
      <c r="F70" s="7">
        <v>9897542.642</v>
      </c>
      <c r="G70" s="20" t="s">
        <v>255</v>
      </c>
      <c r="H70" s="20" t="s">
        <v>256</v>
      </c>
      <c r="I70" s="7" t="s">
        <v>470</v>
      </c>
      <c r="J70" s="7">
        <f t="shared" si="5"/>
        <v>2</v>
      </c>
      <c r="K70" s="21">
        <v>365.679</v>
      </c>
      <c r="L70" s="14">
        <v>123.47</v>
      </c>
      <c r="M70" s="14" t="s">
        <v>175</v>
      </c>
      <c r="N70" s="14">
        <v>41.08</v>
      </c>
      <c r="O70" s="14">
        <v>1.0</v>
      </c>
      <c r="P70" s="14">
        <v>2436.18</v>
      </c>
    </row>
    <row r="71">
      <c r="A71" s="6" t="s">
        <v>257</v>
      </c>
      <c r="B71" s="7" t="s">
        <v>467</v>
      </c>
      <c r="C71" s="7" t="s">
        <v>461</v>
      </c>
      <c r="D71" s="7" t="s">
        <v>26</v>
      </c>
      <c r="E71" s="7">
        <v>376374.695</v>
      </c>
      <c r="F71" s="7">
        <v>9897787.733</v>
      </c>
      <c r="G71" s="20" t="s">
        <v>258</v>
      </c>
      <c r="H71" s="20" t="s">
        <v>259</v>
      </c>
      <c r="I71" s="7" t="s">
        <v>470</v>
      </c>
      <c r="J71" s="7">
        <f t="shared" si="5"/>
        <v>2</v>
      </c>
      <c r="K71" s="21">
        <v>378.865</v>
      </c>
      <c r="L71" s="14">
        <v>118.03</v>
      </c>
      <c r="M71" s="14" t="s">
        <v>175</v>
      </c>
      <c r="N71" s="14">
        <v>32.87</v>
      </c>
      <c r="O71" s="14">
        <v>1.0</v>
      </c>
      <c r="P71" s="14">
        <v>2824.39</v>
      </c>
    </row>
    <row r="72">
      <c r="A72" s="6" t="s">
        <v>260</v>
      </c>
      <c r="B72" s="7" t="s">
        <v>467</v>
      </c>
      <c r="C72" s="7" t="s">
        <v>461</v>
      </c>
      <c r="D72" s="7" t="s">
        <v>26</v>
      </c>
      <c r="E72" s="7">
        <v>376095.231</v>
      </c>
      <c r="F72" s="7">
        <v>9898024.828</v>
      </c>
      <c r="G72" s="20" t="s">
        <v>261</v>
      </c>
      <c r="H72" s="20" t="s">
        <v>262</v>
      </c>
      <c r="I72" s="7" t="s">
        <v>123</v>
      </c>
      <c r="J72" s="7">
        <f t="shared" si="5"/>
        <v>3</v>
      </c>
      <c r="K72" s="21">
        <v>381.514</v>
      </c>
      <c r="L72" s="14">
        <v>117.08</v>
      </c>
      <c r="M72" s="14" t="s">
        <v>175</v>
      </c>
      <c r="N72" s="14">
        <v>31.62</v>
      </c>
      <c r="O72" s="14">
        <v>1.0</v>
      </c>
      <c r="P72" s="14">
        <v>3188.99</v>
      </c>
    </row>
    <row r="73">
      <c r="A73" s="6" t="s">
        <v>263</v>
      </c>
      <c r="B73" s="7" t="s">
        <v>467</v>
      </c>
      <c r="C73" s="7" t="s">
        <v>461</v>
      </c>
      <c r="D73" s="7" t="s">
        <v>26</v>
      </c>
      <c r="E73" s="7">
        <v>375791.536</v>
      </c>
      <c r="F73" s="7">
        <v>9898282.452</v>
      </c>
      <c r="G73" s="20" t="s">
        <v>264</v>
      </c>
      <c r="H73" s="20" t="s">
        <v>265</v>
      </c>
      <c r="I73" s="7" t="s">
        <v>470</v>
      </c>
      <c r="J73" s="7">
        <f t="shared" si="5"/>
        <v>2</v>
      </c>
      <c r="K73" s="21">
        <v>383.25</v>
      </c>
      <c r="L73" s="14">
        <v>113.06</v>
      </c>
      <c r="M73" s="14" t="s">
        <v>175</v>
      </c>
      <c r="N73" s="14">
        <v>24.14</v>
      </c>
      <c r="O73" s="14">
        <v>1.0</v>
      </c>
      <c r="P73" s="14">
        <v>3537.71</v>
      </c>
    </row>
    <row r="74">
      <c r="A74" s="6" t="s">
        <v>266</v>
      </c>
      <c r="B74" s="7" t="s">
        <v>467</v>
      </c>
      <c r="C74" s="7" t="s">
        <v>461</v>
      </c>
      <c r="D74" s="7" t="s">
        <v>26</v>
      </c>
      <c r="E74" s="7">
        <v>375500.846</v>
      </c>
      <c r="F74" s="7">
        <v>9898529.019</v>
      </c>
      <c r="G74" s="20" t="s">
        <v>267</v>
      </c>
      <c r="H74" s="20" t="s">
        <v>268</v>
      </c>
      <c r="I74" s="7" t="s">
        <v>470</v>
      </c>
      <c r="J74" s="7">
        <f t="shared" si="5"/>
        <v>2</v>
      </c>
      <c r="K74" s="21">
        <v>381.155</v>
      </c>
      <c r="L74" s="14">
        <v>104.87</v>
      </c>
      <c r="M74" s="14" t="s">
        <v>109</v>
      </c>
      <c r="N74" s="14">
        <v>33.4</v>
      </c>
      <c r="O74" s="14">
        <v>1.0</v>
      </c>
      <c r="P74" s="14">
        <v>142.84</v>
      </c>
    </row>
    <row r="75">
      <c r="A75" s="6" t="s">
        <v>269</v>
      </c>
      <c r="B75" s="7" t="s">
        <v>471</v>
      </c>
      <c r="C75" s="7" t="s">
        <v>461</v>
      </c>
      <c r="D75" s="7" t="s">
        <v>26</v>
      </c>
      <c r="E75" s="7">
        <v>375270.18</v>
      </c>
      <c r="F75" s="7">
        <v>9898850.623</v>
      </c>
      <c r="G75" s="20" t="s">
        <v>270</v>
      </c>
      <c r="H75" s="20" t="s">
        <v>271</v>
      </c>
      <c r="I75" s="7" t="s">
        <v>470</v>
      </c>
      <c r="J75" s="7">
        <f t="shared" si="5"/>
        <v>2</v>
      </c>
      <c r="K75" s="21">
        <v>383.945</v>
      </c>
      <c r="L75" s="14">
        <v>99.0</v>
      </c>
      <c r="M75" s="14" t="s">
        <v>109</v>
      </c>
      <c r="N75" s="14">
        <v>137.61</v>
      </c>
      <c r="O75" s="14">
        <v>2.0</v>
      </c>
      <c r="P75" s="14">
        <v>2883.78</v>
      </c>
    </row>
    <row r="76">
      <c r="A76" s="6" t="s">
        <v>273</v>
      </c>
      <c r="B76" s="7" t="s">
        <v>471</v>
      </c>
      <c r="C76" s="7" t="s">
        <v>461</v>
      </c>
      <c r="D76" s="7" t="s">
        <v>26</v>
      </c>
      <c r="E76" s="7">
        <v>374978.839</v>
      </c>
      <c r="F76" s="7">
        <v>9899097.73</v>
      </c>
      <c r="G76" s="20" t="s">
        <v>274</v>
      </c>
      <c r="H76" s="20" t="s">
        <v>275</v>
      </c>
      <c r="I76" s="7" t="s">
        <v>470</v>
      </c>
      <c r="J76" s="7">
        <f t="shared" si="5"/>
        <v>2</v>
      </c>
      <c r="K76" s="21">
        <v>382.023</v>
      </c>
      <c r="L76" s="14">
        <v>93.39</v>
      </c>
      <c r="M76" s="14" t="s">
        <v>175</v>
      </c>
      <c r="N76" s="14">
        <v>137.62</v>
      </c>
      <c r="O76" s="14">
        <v>1.0</v>
      </c>
      <c r="P76" s="14">
        <v>2628.44</v>
      </c>
    </row>
    <row r="77">
      <c r="A77" s="6" t="s">
        <v>276</v>
      </c>
      <c r="B77" s="7" t="s">
        <v>471</v>
      </c>
      <c r="C77" s="7" t="s">
        <v>461</v>
      </c>
      <c r="D77" s="7" t="s">
        <v>26</v>
      </c>
      <c r="E77" s="7">
        <v>374687.519</v>
      </c>
      <c r="F77" s="7">
        <v>9899344.888</v>
      </c>
      <c r="G77" s="20" t="s">
        <v>278</v>
      </c>
      <c r="H77" s="20" t="s">
        <v>279</v>
      </c>
      <c r="I77" s="7" t="s">
        <v>123</v>
      </c>
      <c r="J77" s="7">
        <f t="shared" si="5"/>
        <v>3</v>
      </c>
      <c r="K77" s="21">
        <v>382.022</v>
      </c>
      <c r="L77" s="14">
        <v>90.62</v>
      </c>
      <c r="M77" s="14" t="s">
        <v>175</v>
      </c>
      <c r="N77" s="14">
        <v>141.41</v>
      </c>
      <c r="O77" s="14">
        <v>1.0</v>
      </c>
      <c r="P77" s="14">
        <v>2462.63</v>
      </c>
    </row>
    <row r="78">
      <c r="A78" s="6" t="s">
        <v>280</v>
      </c>
      <c r="B78" s="7" t="s">
        <v>471</v>
      </c>
      <c r="C78" s="7" t="s">
        <v>461</v>
      </c>
      <c r="D78" s="7" t="s">
        <v>26</v>
      </c>
      <c r="E78" s="7">
        <v>374402.765</v>
      </c>
      <c r="F78" s="7">
        <v>9899586.469</v>
      </c>
      <c r="G78" s="20" t="s">
        <v>281</v>
      </c>
      <c r="H78" s="20" t="s">
        <v>282</v>
      </c>
      <c r="I78" s="7" t="s">
        <v>123</v>
      </c>
      <c r="J78" s="7">
        <f t="shared" si="5"/>
        <v>3</v>
      </c>
      <c r="K78" s="21">
        <v>373.46</v>
      </c>
      <c r="L78" s="14">
        <v>87.75</v>
      </c>
      <c r="M78" s="14" t="s">
        <v>175</v>
      </c>
      <c r="N78" s="14">
        <v>143.04</v>
      </c>
      <c r="O78" s="14">
        <v>1.0</v>
      </c>
      <c r="P78" s="14">
        <v>2435.17</v>
      </c>
    </row>
    <row r="79">
      <c r="A79" s="6" t="s">
        <v>283</v>
      </c>
      <c r="B79" s="7" t="s">
        <v>471</v>
      </c>
      <c r="C79" s="7" t="s">
        <v>461</v>
      </c>
      <c r="D79" s="7" t="s">
        <v>26</v>
      </c>
      <c r="E79" s="7">
        <v>374119.658</v>
      </c>
      <c r="F79" s="7">
        <v>9899826.642</v>
      </c>
      <c r="G79" s="20" t="s">
        <v>285</v>
      </c>
      <c r="H79" s="20" t="s">
        <v>286</v>
      </c>
      <c r="I79" s="7" t="s">
        <v>123</v>
      </c>
      <c r="J79" s="7">
        <f t="shared" si="5"/>
        <v>3</v>
      </c>
      <c r="K79" s="21">
        <v>371.198</v>
      </c>
      <c r="L79" s="14">
        <v>84.03</v>
      </c>
      <c r="M79" s="14" t="s">
        <v>175</v>
      </c>
      <c r="N79" s="14">
        <v>143.97</v>
      </c>
      <c r="O79" s="14">
        <v>1.0</v>
      </c>
      <c r="P79" s="14">
        <v>2175.36</v>
      </c>
    </row>
    <row r="80">
      <c r="A80" s="6" t="s">
        <v>287</v>
      </c>
      <c r="B80" s="7" t="s">
        <v>471</v>
      </c>
      <c r="C80" s="7" t="s">
        <v>461</v>
      </c>
      <c r="D80" s="7" t="s">
        <v>26</v>
      </c>
      <c r="E80" s="7">
        <v>373878.694</v>
      </c>
      <c r="F80" s="7">
        <v>9900031.028</v>
      </c>
      <c r="G80" s="20" t="s">
        <v>288</v>
      </c>
      <c r="H80" s="20" t="s">
        <v>289</v>
      </c>
      <c r="I80" s="7" t="s">
        <v>445</v>
      </c>
      <c r="J80" s="7">
        <f t="shared" si="5"/>
        <v>3</v>
      </c>
      <c r="K80" s="21">
        <v>316.007</v>
      </c>
      <c r="L80" s="14">
        <v>79.67</v>
      </c>
      <c r="M80" s="14" t="s">
        <v>109</v>
      </c>
      <c r="N80" s="14">
        <v>122.04</v>
      </c>
      <c r="O80" s="14">
        <v>2.0</v>
      </c>
      <c r="P80" s="14">
        <v>161.45</v>
      </c>
    </row>
    <row r="81">
      <c r="A81" s="6" t="s">
        <v>290</v>
      </c>
      <c r="B81" s="7" t="s">
        <v>471</v>
      </c>
      <c r="C81" s="7" t="s">
        <v>461</v>
      </c>
      <c r="D81" s="7" t="s">
        <v>26</v>
      </c>
      <c r="E81" s="7">
        <v>373588.33</v>
      </c>
      <c r="F81" s="7">
        <v>9900277.343</v>
      </c>
      <c r="G81" s="20" t="s">
        <v>291</v>
      </c>
      <c r="H81" s="20" t="s">
        <v>292</v>
      </c>
      <c r="I81" s="7" t="s">
        <v>445</v>
      </c>
      <c r="J81" s="7">
        <f t="shared" si="5"/>
        <v>3</v>
      </c>
      <c r="K81" s="21">
        <v>380.725</v>
      </c>
      <c r="L81" s="14">
        <v>78.0</v>
      </c>
      <c r="M81" s="14" t="s">
        <v>175</v>
      </c>
      <c r="N81" s="14">
        <v>128.16</v>
      </c>
      <c r="O81" s="14">
        <v>1.0</v>
      </c>
      <c r="P81" s="14">
        <v>1839.36</v>
      </c>
    </row>
    <row r="82">
      <c r="A82" s="6" t="s">
        <v>293</v>
      </c>
      <c r="B82" s="7" t="s">
        <v>471</v>
      </c>
      <c r="C82" s="7" t="s">
        <v>461</v>
      </c>
      <c r="D82" s="7" t="s">
        <v>26</v>
      </c>
      <c r="E82" s="7">
        <v>373298.031</v>
      </c>
      <c r="F82" s="7">
        <v>9900523.638</v>
      </c>
      <c r="G82" s="20" t="s">
        <v>294</v>
      </c>
      <c r="H82" s="20" t="s">
        <v>295</v>
      </c>
      <c r="I82" s="7" t="s">
        <v>445</v>
      </c>
      <c r="J82" s="7">
        <f t="shared" si="5"/>
        <v>3</v>
      </c>
      <c r="K82" s="21">
        <v>380.721</v>
      </c>
      <c r="L82" s="14">
        <v>73.45</v>
      </c>
      <c r="M82" s="14" t="s">
        <v>175</v>
      </c>
      <c r="N82" s="14">
        <v>125.91</v>
      </c>
      <c r="O82" s="14">
        <v>1.0</v>
      </c>
      <c r="P82" s="14">
        <v>1441.6</v>
      </c>
    </row>
    <row r="83">
      <c r="A83" s="6" t="s">
        <v>296</v>
      </c>
      <c r="B83" s="7" t="s">
        <v>471</v>
      </c>
      <c r="C83" s="7" t="s">
        <v>461</v>
      </c>
      <c r="D83" s="7" t="s">
        <v>26</v>
      </c>
      <c r="E83" s="7">
        <v>373005.743</v>
      </c>
      <c r="F83" s="7">
        <v>9900771.572</v>
      </c>
      <c r="G83" s="20" t="s">
        <v>297</v>
      </c>
      <c r="H83" s="20" t="s">
        <v>298</v>
      </c>
      <c r="I83" s="7" t="s">
        <v>445</v>
      </c>
      <c r="J83" s="7">
        <f t="shared" si="5"/>
        <v>3</v>
      </c>
      <c r="K83" s="21">
        <v>383.324</v>
      </c>
      <c r="L83" s="14">
        <v>68.54</v>
      </c>
      <c r="M83" s="14" t="s">
        <v>175</v>
      </c>
      <c r="N83" s="14">
        <v>181.99</v>
      </c>
      <c r="O83" s="14">
        <v>1.0</v>
      </c>
      <c r="P83" s="14">
        <v>1080.51</v>
      </c>
    </row>
    <row r="84">
      <c r="A84" s="6" t="s">
        <v>299</v>
      </c>
      <c r="B84" s="7" t="s">
        <v>472</v>
      </c>
      <c r="C84" s="7" t="s">
        <v>461</v>
      </c>
      <c r="D84" s="7" t="s">
        <v>26</v>
      </c>
      <c r="E84" s="7">
        <v>372744.468</v>
      </c>
      <c r="F84" s="7">
        <v>9900993.235</v>
      </c>
      <c r="G84" s="20" t="s">
        <v>300</v>
      </c>
      <c r="H84" s="20" t="s">
        <v>301</v>
      </c>
      <c r="I84" s="7" t="s">
        <v>445</v>
      </c>
      <c r="J84" s="7">
        <f t="shared" si="5"/>
        <v>3</v>
      </c>
      <c r="K84" s="21">
        <v>342.638</v>
      </c>
      <c r="L84" s="14">
        <v>65.36</v>
      </c>
      <c r="M84" s="14" t="s">
        <v>175</v>
      </c>
      <c r="N84" s="14">
        <v>173.27</v>
      </c>
      <c r="O84" s="14">
        <v>1.0</v>
      </c>
      <c r="P84" s="14">
        <v>732.17</v>
      </c>
    </row>
    <row r="85">
      <c r="A85" s="6" t="s">
        <v>302</v>
      </c>
      <c r="B85" s="7" t="s">
        <v>472</v>
      </c>
      <c r="C85" s="7" t="s">
        <v>461</v>
      </c>
      <c r="D85" s="7" t="s">
        <v>26</v>
      </c>
      <c r="E85" s="7">
        <v>372487.475</v>
      </c>
      <c r="F85" s="7">
        <v>9901211.209</v>
      </c>
      <c r="G85" s="20" t="s">
        <v>303</v>
      </c>
      <c r="H85" s="20" t="s">
        <v>304</v>
      </c>
      <c r="I85" s="7" t="s">
        <v>445</v>
      </c>
      <c r="J85" s="7">
        <f t="shared" si="5"/>
        <v>3</v>
      </c>
      <c r="K85" s="21">
        <v>336.974</v>
      </c>
      <c r="L85" s="14">
        <v>62.19</v>
      </c>
      <c r="M85" s="14" t="s">
        <v>175</v>
      </c>
      <c r="N85" s="14">
        <v>200.94</v>
      </c>
      <c r="O85" s="14">
        <v>1.0</v>
      </c>
      <c r="P85" s="14">
        <v>407.68</v>
      </c>
    </row>
    <row r="86">
      <c r="A86" s="6" t="s">
        <v>305</v>
      </c>
      <c r="B86" s="7" t="s">
        <v>473</v>
      </c>
      <c r="C86" s="7" t="s">
        <v>461</v>
      </c>
      <c r="D86" s="7" t="s">
        <v>26</v>
      </c>
      <c r="E86" s="7">
        <v>372235.353</v>
      </c>
      <c r="F86" s="7">
        <v>9901425.094</v>
      </c>
      <c r="G86" s="20" t="s">
        <v>306</v>
      </c>
      <c r="H86" s="20" t="s">
        <v>307</v>
      </c>
      <c r="I86" s="7" t="s">
        <v>123</v>
      </c>
      <c r="J86" s="7">
        <f t="shared" si="5"/>
        <v>3</v>
      </c>
      <c r="K86" s="21">
        <v>330.631</v>
      </c>
      <c r="L86" s="14">
        <v>62.46</v>
      </c>
      <c r="M86" s="14" t="s">
        <v>109</v>
      </c>
      <c r="N86" s="14">
        <v>212.22</v>
      </c>
      <c r="O86" s="14">
        <v>2.0</v>
      </c>
      <c r="P86" s="14">
        <v>67.36</v>
      </c>
    </row>
    <row r="87">
      <c r="A87" s="6" t="s">
        <v>308</v>
      </c>
      <c r="B87" s="7" t="s">
        <v>473</v>
      </c>
      <c r="C87" s="7" t="s">
        <v>461</v>
      </c>
      <c r="D87" s="7" t="s">
        <v>26</v>
      </c>
      <c r="E87" s="7">
        <v>371958.552</v>
      </c>
      <c r="F87" s="7">
        <v>9901604.647</v>
      </c>
      <c r="G87" s="20" t="s">
        <v>309</v>
      </c>
      <c r="H87" s="20" t="s">
        <v>310</v>
      </c>
      <c r="I87" s="7" t="s">
        <v>454</v>
      </c>
      <c r="J87" s="7">
        <f t="shared" si="5"/>
        <v>3</v>
      </c>
      <c r="K87" s="21">
        <v>329.944</v>
      </c>
      <c r="L87" s="14">
        <v>59.94</v>
      </c>
      <c r="M87" s="14" t="s">
        <v>109</v>
      </c>
      <c r="N87" s="14">
        <v>174.33</v>
      </c>
      <c r="O87" s="14">
        <v>2.0</v>
      </c>
      <c r="P87" s="14">
        <v>231.43</v>
      </c>
    </row>
    <row r="88">
      <c r="A88" s="6" t="s">
        <v>311</v>
      </c>
      <c r="B88" s="7" t="s">
        <v>473</v>
      </c>
      <c r="C88" s="7" t="s">
        <v>461</v>
      </c>
      <c r="D88" s="7" t="s">
        <v>26</v>
      </c>
      <c r="E88" s="7">
        <v>371674.41</v>
      </c>
      <c r="F88" s="7">
        <v>9901740.67</v>
      </c>
      <c r="G88" s="20" t="s">
        <v>312</v>
      </c>
      <c r="H88" s="20" t="s">
        <v>313</v>
      </c>
      <c r="I88" s="7" t="s">
        <v>123</v>
      </c>
      <c r="J88" s="7">
        <f t="shared" si="5"/>
        <v>3</v>
      </c>
      <c r="K88" s="21">
        <v>315.02</v>
      </c>
      <c r="L88" s="14">
        <v>59.76</v>
      </c>
      <c r="M88" s="14" t="s">
        <v>463</v>
      </c>
      <c r="N88" s="14">
        <v>115.3</v>
      </c>
      <c r="O88" s="14">
        <v>3.0</v>
      </c>
      <c r="P88" s="14">
        <v>528.49</v>
      </c>
    </row>
    <row r="89">
      <c r="A89" s="6" t="s">
        <v>314</v>
      </c>
      <c r="B89" s="7" t="s">
        <v>473</v>
      </c>
      <c r="C89" s="7" t="s">
        <v>461</v>
      </c>
      <c r="D89" s="7" t="s">
        <v>26</v>
      </c>
      <c r="E89" s="7">
        <v>371369.883</v>
      </c>
      <c r="F89" s="7">
        <v>9901686.161</v>
      </c>
      <c r="G89" s="20" t="s">
        <v>315</v>
      </c>
      <c r="H89" s="20" t="s">
        <v>316</v>
      </c>
      <c r="I89" s="7" t="s">
        <v>474</v>
      </c>
      <c r="J89" s="7">
        <f t="shared" si="5"/>
        <v>2</v>
      </c>
      <c r="K89" s="21">
        <v>309.347</v>
      </c>
      <c r="L89" s="14">
        <v>63.49</v>
      </c>
      <c r="M89" s="14" t="s">
        <v>175</v>
      </c>
      <c r="N89" s="14">
        <v>156.77</v>
      </c>
      <c r="O89" s="14">
        <v>1.0</v>
      </c>
      <c r="P89" s="14">
        <v>771.61</v>
      </c>
    </row>
    <row r="90">
      <c r="A90" s="6" t="s">
        <v>317</v>
      </c>
      <c r="B90" s="7" t="s">
        <v>473</v>
      </c>
      <c r="C90" s="7" t="s">
        <v>461</v>
      </c>
      <c r="D90" s="7" t="s">
        <v>26</v>
      </c>
      <c r="E90" s="7">
        <v>371036.355</v>
      </c>
      <c r="F90" s="7">
        <v>9901615.638</v>
      </c>
      <c r="G90" s="20" t="s">
        <v>318</v>
      </c>
      <c r="H90" s="20" t="s">
        <v>319</v>
      </c>
      <c r="I90" s="7" t="s">
        <v>474</v>
      </c>
      <c r="J90" s="7">
        <f t="shared" si="5"/>
        <v>2</v>
      </c>
      <c r="K90" s="21">
        <v>340.878</v>
      </c>
      <c r="L90" s="14">
        <v>66.95</v>
      </c>
      <c r="M90" s="14" t="s">
        <v>175</v>
      </c>
      <c r="N90" s="14">
        <v>247.05</v>
      </c>
      <c r="O90" s="14">
        <v>1.0</v>
      </c>
      <c r="P90" s="14">
        <v>730.24</v>
      </c>
    </row>
    <row r="91">
      <c r="A91" s="6" t="s">
        <v>320</v>
      </c>
      <c r="B91" s="7" t="s">
        <v>473</v>
      </c>
      <c r="C91" s="7" t="s">
        <v>461</v>
      </c>
      <c r="D91" s="7" t="s">
        <v>26</v>
      </c>
      <c r="E91" s="7">
        <v>370675.055</v>
      </c>
      <c r="F91" s="7">
        <v>9901551.181</v>
      </c>
      <c r="G91" s="20" t="s">
        <v>321</v>
      </c>
      <c r="H91" s="20" t="s">
        <v>322</v>
      </c>
      <c r="I91" s="7" t="s">
        <v>479</v>
      </c>
      <c r="J91" s="7">
        <f t="shared" si="5"/>
        <v>2</v>
      </c>
      <c r="K91" s="21">
        <v>366.975</v>
      </c>
      <c r="L91" s="14">
        <v>76.03</v>
      </c>
      <c r="M91" s="14" t="s">
        <v>109</v>
      </c>
      <c r="N91" s="14">
        <v>79.27</v>
      </c>
      <c r="O91" s="14">
        <v>2.0</v>
      </c>
      <c r="P91" s="14">
        <v>593.33</v>
      </c>
    </row>
    <row r="92">
      <c r="A92" s="6" t="s">
        <v>323</v>
      </c>
      <c r="B92" s="7" t="s">
        <v>473</v>
      </c>
      <c r="C92" s="7" t="s">
        <v>461</v>
      </c>
      <c r="D92" s="7" t="s">
        <v>26</v>
      </c>
      <c r="E92" s="7">
        <v>370329.601</v>
      </c>
      <c r="F92" s="7">
        <v>9901459.307</v>
      </c>
      <c r="G92" s="20" t="s">
        <v>324</v>
      </c>
      <c r="H92" s="20" t="s">
        <v>326</v>
      </c>
      <c r="I92" s="7" t="s">
        <v>123</v>
      </c>
      <c r="J92" s="7">
        <f t="shared" si="5"/>
        <v>3</v>
      </c>
      <c r="K92" s="21">
        <v>357.507</v>
      </c>
      <c r="L92" s="14">
        <v>78.42</v>
      </c>
      <c r="M92" s="14" t="s">
        <v>175</v>
      </c>
      <c r="N92" s="14">
        <v>355.91</v>
      </c>
      <c r="O92" s="14">
        <v>1.0</v>
      </c>
      <c r="P92" s="14">
        <v>549.75</v>
      </c>
    </row>
    <row r="93">
      <c r="A93" s="6" t="s">
        <v>327</v>
      </c>
      <c r="B93" s="7" t="s">
        <v>473</v>
      </c>
      <c r="C93" s="7" t="s">
        <v>461</v>
      </c>
      <c r="D93" s="7" t="s">
        <v>26</v>
      </c>
      <c r="E93" s="7">
        <v>370008.578</v>
      </c>
      <c r="F93" s="7">
        <v>9901366.293</v>
      </c>
      <c r="G93" s="20" t="s">
        <v>328</v>
      </c>
      <c r="H93" s="20" t="s">
        <v>330</v>
      </c>
      <c r="I93" s="7" t="s">
        <v>480</v>
      </c>
      <c r="J93" s="7">
        <f t="shared" si="5"/>
        <v>3</v>
      </c>
      <c r="K93" s="21">
        <v>334.199</v>
      </c>
      <c r="L93" s="14">
        <v>80.74</v>
      </c>
      <c r="M93" s="14" t="s">
        <v>175</v>
      </c>
      <c r="N93" s="14">
        <v>116.14</v>
      </c>
      <c r="O93" s="14">
        <v>1.0</v>
      </c>
      <c r="P93" s="14">
        <v>493.36</v>
      </c>
    </row>
    <row r="94">
      <c r="A94" s="6" t="s">
        <v>331</v>
      </c>
      <c r="B94" s="7" t="s">
        <v>476</v>
      </c>
      <c r="C94" s="7" t="s">
        <v>461</v>
      </c>
      <c r="D94" s="7" t="s">
        <v>26</v>
      </c>
      <c r="E94" s="7">
        <v>369677.051</v>
      </c>
      <c r="F94" s="7">
        <v>9901266.568</v>
      </c>
      <c r="G94" s="20" t="s">
        <v>334</v>
      </c>
      <c r="H94" s="20" t="s">
        <v>336</v>
      </c>
      <c r="I94" s="7" t="s">
        <v>480</v>
      </c>
      <c r="J94" s="7">
        <f t="shared" si="5"/>
        <v>3</v>
      </c>
      <c r="K94" s="21">
        <v>346.211</v>
      </c>
      <c r="L94" s="14">
        <v>86.76</v>
      </c>
      <c r="M94" s="14" t="s">
        <v>109</v>
      </c>
      <c r="N94" s="14">
        <v>192.61</v>
      </c>
      <c r="O94" s="14">
        <v>2.0</v>
      </c>
      <c r="P94" s="14">
        <v>519.13</v>
      </c>
    </row>
    <row r="95">
      <c r="A95" s="6" t="s">
        <v>337</v>
      </c>
      <c r="B95" s="7" t="s">
        <v>477</v>
      </c>
      <c r="C95" s="7" t="s">
        <v>461</v>
      </c>
      <c r="D95" s="7" t="s">
        <v>26</v>
      </c>
      <c r="E95" s="7">
        <v>369393.448</v>
      </c>
      <c r="F95" s="7">
        <v>9901087.199</v>
      </c>
      <c r="G95" s="20" t="s">
        <v>339</v>
      </c>
      <c r="H95" s="20" t="s">
        <v>340</v>
      </c>
      <c r="I95" s="7" t="s">
        <v>480</v>
      </c>
      <c r="J95" s="7">
        <f t="shared" si="5"/>
        <v>3</v>
      </c>
      <c r="K95" s="21">
        <v>335.55</v>
      </c>
      <c r="L95" s="14">
        <v>93.0</v>
      </c>
      <c r="M95" s="14" t="s">
        <v>109</v>
      </c>
      <c r="N95" s="14">
        <v>156.29</v>
      </c>
      <c r="O95" s="14">
        <v>2.0</v>
      </c>
      <c r="P95" s="14">
        <v>403.6</v>
      </c>
    </row>
    <row r="96">
      <c r="A96" s="6" t="s">
        <v>342</v>
      </c>
      <c r="B96" s="7" t="s">
        <v>477</v>
      </c>
      <c r="C96" s="7" t="s">
        <v>461</v>
      </c>
      <c r="D96" s="7" t="s">
        <v>26</v>
      </c>
      <c r="E96" s="7">
        <v>369057.801</v>
      </c>
      <c r="F96" s="7">
        <v>9900897.566</v>
      </c>
      <c r="G96" s="20" t="s">
        <v>344</v>
      </c>
      <c r="H96" s="20" t="s">
        <v>345</v>
      </c>
      <c r="I96" s="7" t="s">
        <v>470</v>
      </c>
      <c r="J96" s="7">
        <f t="shared" si="5"/>
        <v>2</v>
      </c>
      <c r="K96" s="21">
        <v>385.546</v>
      </c>
      <c r="L96" s="14">
        <v>100.78</v>
      </c>
      <c r="M96" s="14" t="s">
        <v>463</v>
      </c>
      <c r="N96" s="14">
        <v>165.25</v>
      </c>
      <c r="O96" s="14">
        <v>3.0</v>
      </c>
      <c r="P96" s="14">
        <v>413.47</v>
      </c>
    </row>
    <row r="97">
      <c r="A97" s="6" t="s">
        <v>347</v>
      </c>
      <c r="B97" s="7" t="s">
        <v>477</v>
      </c>
      <c r="C97" s="7" t="s">
        <v>461</v>
      </c>
      <c r="D97" s="7" t="s">
        <v>26</v>
      </c>
      <c r="E97" s="7">
        <v>368748.62</v>
      </c>
      <c r="F97" s="7">
        <v>9901006.351</v>
      </c>
      <c r="G97" s="20" t="s">
        <v>348</v>
      </c>
      <c r="H97" s="20" t="s">
        <v>349</v>
      </c>
      <c r="I97" s="7" t="s">
        <v>470</v>
      </c>
      <c r="J97" s="7">
        <f t="shared" si="5"/>
        <v>2</v>
      </c>
      <c r="K97" s="21">
        <v>327.719</v>
      </c>
      <c r="L97" s="14">
        <v>95.07</v>
      </c>
      <c r="M97" s="14" t="s">
        <v>132</v>
      </c>
      <c r="N97" s="14">
        <v>102.58</v>
      </c>
      <c r="O97" s="14">
        <v>3.0</v>
      </c>
      <c r="P97" s="14">
        <v>658.95</v>
      </c>
    </row>
    <row r="98">
      <c r="A98" s="6" t="s">
        <v>350</v>
      </c>
      <c r="B98" s="7" t="s">
        <v>477</v>
      </c>
      <c r="C98" s="7" t="s">
        <v>461</v>
      </c>
      <c r="D98" s="7" t="s">
        <v>26</v>
      </c>
      <c r="E98" s="7">
        <v>368469.517</v>
      </c>
      <c r="F98" s="7">
        <v>9901243.031</v>
      </c>
      <c r="G98" s="20" t="s">
        <v>351</v>
      </c>
      <c r="H98" s="20" t="s">
        <v>352</v>
      </c>
      <c r="I98" s="7" t="s">
        <v>470</v>
      </c>
      <c r="J98" s="7">
        <f t="shared" si="5"/>
        <v>2</v>
      </c>
      <c r="K98" s="21">
        <v>366.827</v>
      </c>
      <c r="L98" s="14">
        <v>98.6</v>
      </c>
      <c r="M98" s="14" t="s">
        <v>175</v>
      </c>
      <c r="N98" s="14">
        <v>107.64</v>
      </c>
      <c r="O98" s="14">
        <v>1.0</v>
      </c>
      <c r="P98" s="14">
        <v>934.23</v>
      </c>
    </row>
    <row r="99">
      <c r="A99" s="6" t="s">
        <v>354</v>
      </c>
      <c r="B99" s="7" t="s">
        <v>478</v>
      </c>
      <c r="C99" s="7" t="s">
        <v>461</v>
      </c>
      <c r="D99" s="7" t="s">
        <v>26</v>
      </c>
      <c r="E99" s="7">
        <v>368175.397</v>
      </c>
      <c r="F99" s="7">
        <v>9901492.178</v>
      </c>
      <c r="G99" s="20" t="s">
        <v>355</v>
      </c>
      <c r="H99" s="20" t="s">
        <v>357</v>
      </c>
      <c r="I99" s="7" t="s">
        <v>123</v>
      </c>
      <c r="J99" s="7">
        <f t="shared" si="5"/>
        <v>3</v>
      </c>
      <c r="K99" s="21">
        <v>384.637</v>
      </c>
      <c r="L99" s="14">
        <v>96.41</v>
      </c>
      <c r="M99" s="14" t="s">
        <v>175</v>
      </c>
      <c r="N99" s="14">
        <v>128.47</v>
      </c>
      <c r="O99" s="14">
        <v>1.0</v>
      </c>
      <c r="P99" s="14" t="s">
        <v>482</v>
      </c>
    </row>
    <row r="100">
      <c r="A100" s="6" t="s">
        <v>359</v>
      </c>
      <c r="B100" s="7" t="s">
        <v>478</v>
      </c>
      <c r="C100" s="7" t="s">
        <v>461</v>
      </c>
      <c r="D100" s="7" t="s">
        <v>26</v>
      </c>
      <c r="E100" s="7">
        <v>367893.23</v>
      </c>
      <c r="F100" s="7">
        <v>9901731.405</v>
      </c>
      <c r="G100" s="20" t="s">
        <v>360</v>
      </c>
      <c r="H100" s="20" t="s">
        <v>362</v>
      </c>
      <c r="I100" s="7" t="s">
        <v>470</v>
      </c>
      <c r="J100" s="7">
        <f t="shared" si="5"/>
        <v>2</v>
      </c>
      <c r="K100" s="21">
        <v>369.863</v>
      </c>
      <c r="L100" s="14">
        <v>96.99</v>
      </c>
      <c r="M100" s="14" t="s">
        <v>175</v>
      </c>
      <c r="N100" s="14">
        <v>130.62</v>
      </c>
      <c r="O100" s="14">
        <v>1.0</v>
      </c>
      <c r="P100" s="14">
        <v>1310.02</v>
      </c>
    </row>
    <row r="101">
      <c r="A101" s="6" t="s">
        <v>363</v>
      </c>
      <c r="B101" s="7" t="s">
        <v>478</v>
      </c>
      <c r="C101" s="7" t="s">
        <v>461</v>
      </c>
      <c r="D101" s="7" t="s">
        <v>26</v>
      </c>
      <c r="E101" s="7">
        <v>367644.41</v>
      </c>
      <c r="F101" s="7">
        <v>9901942.238</v>
      </c>
      <c r="G101" s="20" t="s">
        <v>364</v>
      </c>
      <c r="H101" s="20" t="s">
        <v>366</v>
      </c>
      <c r="I101" s="7" t="s">
        <v>123</v>
      </c>
      <c r="J101" s="7">
        <f t="shared" si="5"/>
        <v>3</v>
      </c>
      <c r="K101" s="21">
        <v>326.136</v>
      </c>
      <c r="L101" s="14">
        <v>93.69</v>
      </c>
      <c r="M101" s="14" t="s">
        <v>175</v>
      </c>
      <c r="N101" s="14">
        <v>15.36</v>
      </c>
      <c r="O101" s="14">
        <v>1.0</v>
      </c>
      <c r="P101" s="14">
        <v>995.63</v>
      </c>
    </row>
    <row r="102">
      <c r="A102" s="6" t="s">
        <v>367</v>
      </c>
      <c r="B102" s="7" t="s">
        <v>478</v>
      </c>
      <c r="C102" s="7" t="s">
        <v>461</v>
      </c>
      <c r="D102" s="7" t="s">
        <v>26</v>
      </c>
      <c r="E102" s="7">
        <v>367325.385</v>
      </c>
      <c r="F102" s="7">
        <v>9902212.654</v>
      </c>
      <c r="G102" s="20" t="s">
        <v>369</v>
      </c>
      <c r="H102" s="20" t="s">
        <v>370</v>
      </c>
      <c r="I102" s="7" t="s">
        <v>123</v>
      </c>
      <c r="J102" s="7">
        <f t="shared" si="5"/>
        <v>3</v>
      </c>
      <c r="K102" s="21">
        <v>388.293</v>
      </c>
      <c r="L102" s="14">
        <v>93.09</v>
      </c>
      <c r="M102" s="14" t="s">
        <v>175</v>
      </c>
      <c r="N102" s="14">
        <v>136.41</v>
      </c>
      <c r="O102" s="14">
        <v>1.0</v>
      </c>
      <c r="P102" s="14">
        <v>616.27</v>
      </c>
    </row>
    <row r="103">
      <c r="A103" s="6" t="s">
        <v>372</v>
      </c>
      <c r="B103" s="7" t="s">
        <v>478</v>
      </c>
      <c r="C103" s="7" t="s">
        <v>461</v>
      </c>
      <c r="D103" s="7" t="s">
        <v>26</v>
      </c>
      <c r="E103" s="7">
        <v>367021.901</v>
      </c>
      <c r="F103" s="7">
        <v>9902469.866</v>
      </c>
      <c r="G103" s="20" t="s">
        <v>373</v>
      </c>
      <c r="H103" s="20" t="s">
        <v>374</v>
      </c>
      <c r="I103" s="7" t="s">
        <v>123</v>
      </c>
      <c r="J103" s="7">
        <f t="shared" si="5"/>
        <v>3</v>
      </c>
      <c r="K103" s="21">
        <v>380.238</v>
      </c>
      <c r="L103" s="14">
        <v>88.72</v>
      </c>
      <c r="M103" s="14" t="s">
        <v>175</v>
      </c>
      <c r="N103" s="14">
        <v>61.0</v>
      </c>
      <c r="O103" s="14">
        <v>1.0</v>
      </c>
      <c r="P103" s="14">
        <v>365.51</v>
      </c>
    </row>
    <row r="104">
      <c r="A104" s="6" t="s">
        <v>376</v>
      </c>
      <c r="B104" s="7" t="s">
        <v>478</v>
      </c>
      <c r="C104" s="7" t="s">
        <v>461</v>
      </c>
      <c r="D104" s="7" t="s">
        <v>26</v>
      </c>
      <c r="E104" s="7">
        <v>366781.171</v>
      </c>
      <c r="F104" s="7">
        <v>9902673.91</v>
      </c>
      <c r="G104" s="20" t="s">
        <v>377</v>
      </c>
      <c r="H104" s="20" t="s">
        <v>378</v>
      </c>
      <c r="I104" s="7" t="s">
        <v>123</v>
      </c>
      <c r="J104" s="7">
        <f t="shared" si="5"/>
        <v>3</v>
      </c>
      <c r="K104" s="21">
        <v>363.131</v>
      </c>
      <c r="L104" s="14">
        <v>91.31</v>
      </c>
      <c r="M104" s="14" t="s">
        <v>175</v>
      </c>
      <c r="N104" s="14">
        <v>140.13</v>
      </c>
      <c r="O104" s="14">
        <v>1.0</v>
      </c>
      <c r="P104" s="14">
        <v>366.2</v>
      </c>
    </row>
    <row r="105">
      <c r="A105" s="6" t="s">
        <v>380</v>
      </c>
      <c r="B105" s="7" t="s">
        <v>478</v>
      </c>
      <c r="C105" s="7" t="s">
        <v>461</v>
      </c>
      <c r="D105" s="7" t="s">
        <v>26</v>
      </c>
      <c r="E105" s="7">
        <v>366536.863</v>
      </c>
      <c r="F105" s="7">
        <v>9902881.003</v>
      </c>
      <c r="G105" s="20" t="s">
        <v>381</v>
      </c>
      <c r="H105" s="20" t="s">
        <v>383</v>
      </c>
      <c r="I105" s="7" t="s">
        <v>470</v>
      </c>
      <c r="J105" s="7">
        <f t="shared" si="5"/>
        <v>2</v>
      </c>
      <c r="K105" s="21">
        <v>320.213</v>
      </c>
      <c r="L105" s="14">
        <v>79.43</v>
      </c>
      <c r="M105" s="14" t="s">
        <v>109</v>
      </c>
      <c r="N105" s="14">
        <v>153.72</v>
      </c>
      <c r="O105" s="14">
        <v>2.0</v>
      </c>
      <c r="P105" s="14">
        <v>585.43</v>
      </c>
    </row>
    <row r="106">
      <c r="A106" s="6" t="s">
        <v>385</v>
      </c>
      <c r="B106" s="7" t="s">
        <v>478</v>
      </c>
      <c r="C106" s="7" t="s">
        <v>461</v>
      </c>
      <c r="D106" s="7" t="s">
        <v>26</v>
      </c>
      <c r="E106" s="7">
        <v>366246.35</v>
      </c>
      <c r="F106" s="7">
        <v>9903127.174</v>
      </c>
      <c r="G106" s="20" t="s">
        <v>386</v>
      </c>
      <c r="H106" s="20" t="s">
        <v>387</v>
      </c>
      <c r="I106" s="7" t="s">
        <v>470</v>
      </c>
      <c r="J106" s="7">
        <f t="shared" si="5"/>
        <v>2</v>
      </c>
      <c r="K106" s="21">
        <v>380.777</v>
      </c>
      <c r="L106" s="14">
        <v>75.87</v>
      </c>
      <c r="M106" s="14" t="s">
        <v>109</v>
      </c>
      <c r="N106" s="14">
        <v>164.35</v>
      </c>
      <c r="O106" s="14">
        <v>2.0</v>
      </c>
      <c r="P106" s="14">
        <v>895.55</v>
      </c>
    </row>
    <row r="107">
      <c r="A107" s="6" t="s">
        <v>388</v>
      </c>
      <c r="B107" s="7" t="s">
        <v>478</v>
      </c>
      <c r="C107" s="7" t="s">
        <v>461</v>
      </c>
      <c r="D107" s="7" t="s">
        <v>26</v>
      </c>
      <c r="E107" s="7">
        <v>365956.238</v>
      </c>
      <c r="F107" s="7">
        <v>9903373.076</v>
      </c>
      <c r="G107" s="20" t="s">
        <v>389</v>
      </c>
      <c r="H107" s="20" t="s">
        <v>390</v>
      </c>
      <c r="I107" s="7" t="s">
        <v>474</v>
      </c>
      <c r="J107" s="7">
        <f t="shared" si="5"/>
        <v>2</v>
      </c>
      <c r="K107" s="21">
        <v>380.335</v>
      </c>
      <c r="L107" s="14">
        <v>73.44</v>
      </c>
      <c r="M107" s="14" t="s">
        <v>175</v>
      </c>
      <c r="N107" s="14">
        <v>163.16</v>
      </c>
      <c r="O107" s="14">
        <v>1.0</v>
      </c>
      <c r="P107" s="14">
        <v>1359.67</v>
      </c>
    </row>
    <row r="108">
      <c r="A108" s="6" t="s">
        <v>391</v>
      </c>
      <c r="B108" s="7" t="s">
        <v>478</v>
      </c>
      <c r="C108" s="7" t="s">
        <v>461</v>
      </c>
      <c r="D108" s="7" t="s">
        <v>26</v>
      </c>
      <c r="E108" s="7">
        <v>365654.168</v>
      </c>
      <c r="F108" s="7">
        <v>9903629.13</v>
      </c>
      <c r="G108" s="20" t="s">
        <v>392</v>
      </c>
      <c r="H108" s="20" t="s">
        <v>393</v>
      </c>
      <c r="I108" s="7" t="s">
        <v>483</v>
      </c>
      <c r="J108" s="7">
        <f t="shared" si="5"/>
        <v>3</v>
      </c>
      <c r="K108" s="21">
        <v>395.975</v>
      </c>
      <c r="L108" s="14">
        <v>72.43</v>
      </c>
      <c r="M108" s="14" t="s">
        <v>175</v>
      </c>
      <c r="N108" s="14">
        <v>173.81</v>
      </c>
      <c r="O108" s="14">
        <v>1.0</v>
      </c>
      <c r="P108" s="14">
        <v>1174.46</v>
      </c>
    </row>
    <row r="109">
      <c r="A109" s="6" t="s">
        <v>394</v>
      </c>
      <c r="B109" s="7" t="s">
        <v>478</v>
      </c>
      <c r="C109" s="7" t="s">
        <v>461</v>
      </c>
      <c r="D109" s="7" t="s">
        <v>26</v>
      </c>
      <c r="E109" s="7">
        <v>365374.376</v>
      </c>
      <c r="F109" s="7">
        <v>9903866.306</v>
      </c>
      <c r="G109" s="20" t="s">
        <v>395</v>
      </c>
      <c r="H109" s="20" t="s">
        <v>396</v>
      </c>
      <c r="I109" s="7" t="s">
        <v>470</v>
      </c>
      <c r="J109" s="7">
        <f t="shared" si="5"/>
        <v>2</v>
      </c>
      <c r="K109" s="21">
        <v>366.768</v>
      </c>
      <c r="L109" s="14">
        <v>66.46</v>
      </c>
      <c r="M109" s="14" t="s">
        <v>175</v>
      </c>
      <c r="N109" s="14">
        <v>165.34</v>
      </c>
      <c r="O109" s="14">
        <v>1.0</v>
      </c>
      <c r="P109" s="14">
        <v>2165.75</v>
      </c>
    </row>
    <row r="110">
      <c r="A110" s="6" t="s">
        <v>397</v>
      </c>
      <c r="B110" s="7" t="s">
        <v>478</v>
      </c>
      <c r="C110" s="7" t="s">
        <v>461</v>
      </c>
      <c r="D110" s="7" t="s">
        <v>26</v>
      </c>
      <c r="E110" s="7">
        <v>365083.341</v>
      </c>
      <c r="F110" s="7">
        <v>9904112.901</v>
      </c>
      <c r="G110" s="20" t="s">
        <v>398</v>
      </c>
      <c r="H110" s="20" t="s">
        <v>399</v>
      </c>
      <c r="I110" s="7" t="s">
        <v>474</v>
      </c>
      <c r="J110" s="7">
        <f t="shared" si="5"/>
        <v>2</v>
      </c>
      <c r="K110" s="21">
        <v>381.494</v>
      </c>
      <c r="L110" s="14">
        <v>64.4</v>
      </c>
      <c r="M110" s="14" t="s">
        <v>175</v>
      </c>
      <c r="N110" s="14">
        <v>170.3</v>
      </c>
      <c r="O110" s="14">
        <v>1.0</v>
      </c>
      <c r="P110" s="14">
        <v>1836.09</v>
      </c>
    </row>
    <row r="111">
      <c r="A111" s="6" t="s">
        <v>400</v>
      </c>
      <c r="B111" s="7" t="s">
        <v>478</v>
      </c>
      <c r="C111" s="7" t="s">
        <v>461</v>
      </c>
      <c r="D111" s="7" t="s">
        <v>26</v>
      </c>
      <c r="E111" s="7">
        <v>364793.971</v>
      </c>
      <c r="F111" s="7">
        <v>9904358.197</v>
      </c>
      <c r="G111" s="20" t="s">
        <v>401</v>
      </c>
      <c r="H111" s="20" t="s">
        <v>402</v>
      </c>
      <c r="I111" s="7" t="s">
        <v>474</v>
      </c>
      <c r="J111" s="7">
        <f t="shared" si="5"/>
        <v>2</v>
      </c>
      <c r="K111" s="21">
        <v>379.336</v>
      </c>
      <c r="L111" s="14">
        <v>60.13</v>
      </c>
      <c r="M111" s="14" t="s">
        <v>175</v>
      </c>
      <c r="N111" s="14">
        <v>205.73</v>
      </c>
      <c r="O111" s="14">
        <v>1.0</v>
      </c>
      <c r="P111" s="14">
        <v>1381.52</v>
      </c>
    </row>
    <row r="112">
      <c r="A112" s="6" t="s">
        <v>403</v>
      </c>
      <c r="B112" s="7" t="s">
        <v>478</v>
      </c>
      <c r="C112" s="7" t="s">
        <v>461</v>
      </c>
      <c r="D112" s="7" t="s">
        <v>26</v>
      </c>
      <c r="E112" s="7">
        <v>364503.483</v>
      </c>
      <c r="F112" s="7">
        <v>9904604.402</v>
      </c>
      <c r="G112" s="20" t="s">
        <v>404</v>
      </c>
      <c r="H112" s="20" t="s">
        <v>405</v>
      </c>
      <c r="I112" s="7" t="s">
        <v>474</v>
      </c>
      <c r="J112" s="7">
        <f t="shared" si="5"/>
        <v>2</v>
      </c>
      <c r="K112" s="21">
        <v>380.846</v>
      </c>
      <c r="L112" s="14">
        <v>53.16</v>
      </c>
      <c r="M112" s="14" t="s">
        <v>175</v>
      </c>
      <c r="N112" s="14">
        <v>179.48</v>
      </c>
      <c r="O112" s="14">
        <v>1.0</v>
      </c>
      <c r="P112" s="14">
        <v>1109.7</v>
      </c>
    </row>
    <row r="113">
      <c r="A113" s="6" t="s">
        <v>406</v>
      </c>
      <c r="B113" s="7" t="s">
        <v>478</v>
      </c>
      <c r="C113" s="7" t="s">
        <v>461</v>
      </c>
      <c r="D113" s="7" t="s">
        <v>26</v>
      </c>
      <c r="E113" s="7">
        <v>364213.257</v>
      </c>
      <c r="F113" s="7">
        <v>9904850.381</v>
      </c>
      <c r="G113" s="20" t="s">
        <v>407</v>
      </c>
      <c r="H113" s="20" t="s">
        <v>408</v>
      </c>
      <c r="I113" s="7" t="s">
        <v>474</v>
      </c>
      <c r="J113" s="7">
        <f t="shared" si="5"/>
        <v>2</v>
      </c>
      <c r="K113" s="21">
        <v>380.404</v>
      </c>
      <c r="L113" s="14">
        <v>49.77</v>
      </c>
      <c r="M113" s="14" t="s">
        <v>109</v>
      </c>
      <c r="N113" s="14">
        <v>56.26</v>
      </c>
      <c r="O113" s="14">
        <v>1.0</v>
      </c>
      <c r="P113" s="14">
        <v>881.31</v>
      </c>
    </row>
    <row r="114">
      <c r="A114" s="6" t="s">
        <v>409</v>
      </c>
      <c r="B114" s="7" t="s">
        <v>478</v>
      </c>
      <c r="C114" s="7" t="s">
        <v>461</v>
      </c>
      <c r="D114" s="7" t="s">
        <v>26</v>
      </c>
      <c r="E114" s="7">
        <v>363924.182</v>
      </c>
      <c r="F114" s="7">
        <v>9904991.626</v>
      </c>
      <c r="G114" s="20" t="s">
        <v>410</v>
      </c>
      <c r="H114" s="20" t="s">
        <v>411</v>
      </c>
      <c r="I114" s="7" t="s">
        <v>481</v>
      </c>
      <c r="J114" s="7">
        <f t="shared" si="5"/>
        <v>1</v>
      </c>
      <c r="K114" s="21">
        <v>321.744</v>
      </c>
      <c r="L114" s="14">
        <v>54.99</v>
      </c>
      <c r="M114" s="14" t="s">
        <v>85</v>
      </c>
      <c r="N114" s="14">
        <v>107.41</v>
      </c>
      <c r="O114" s="14">
        <v>3.0</v>
      </c>
      <c r="P114" s="14">
        <v>540.28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88"/>
  </cols>
  <sheetData>
    <row r="1">
      <c r="A1" s="9" t="s">
        <v>0</v>
      </c>
      <c r="B1" s="11" t="s">
        <v>7</v>
      </c>
      <c r="C1" s="11" t="s">
        <v>8</v>
      </c>
    </row>
    <row r="2">
      <c r="A2" s="13" t="s">
        <v>23</v>
      </c>
      <c r="B2" s="8" t="s">
        <v>28</v>
      </c>
      <c r="C2" s="5">
        <v>134.013493561028</v>
      </c>
    </row>
    <row r="3">
      <c r="A3" s="13" t="s">
        <v>37</v>
      </c>
      <c r="B3" s="16" t="s">
        <v>38</v>
      </c>
      <c r="C3" s="16" t="s">
        <v>39</v>
      </c>
    </row>
    <row r="4">
      <c r="A4" s="13" t="s">
        <v>41</v>
      </c>
      <c r="B4" s="16" t="s">
        <v>42</v>
      </c>
      <c r="C4" s="16" t="s">
        <v>43</v>
      </c>
    </row>
    <row r="5">
      <c r="A5" s="13" t="s">
        <v>44</v>
      </c>
      <c r="B5" s="16" t="s">
        <v>45</v>
      </c>
      <c r="C5" s="16" t="s">
        <v>47</v>
      </c>
    </row>
    <row r="6">
      <c r="A6" s="13" t="s">
        <v>48</v>
      </c>
      <c r="B6" s="16" t="s">
        <v>50</v>
      </c>
      <c r="C6" s="16" t="s">
        <v>51</v>
      </c>
    </row>
    <row r="7">
      <c r="A7" s="13" t="s">
        <v>52</v>
      </c>
      <c r="B7" s="16" t="s">
        <v>53</v>
      </c>
      <c r="C7" s="16" t="s">
        <v>54</v>
      </c>
    </row>
    <row r="8">
      <c r="A8" s="13" t="s">
        <v>55</v>
      </c>
      <c r="B8" s="16" t="s">
        <v>56</v>
      </c>
      <c r="C8" s="16" t="s">
        <v>57</v>
      </c>
    </row>
    <row r="9">
      <c r="A9" s="13" t="s">
        <v>58</v>
      </c>
      <c r="B9" s="16" t="s">
        <v>59</v>
      </c>
      <c r="C9" s="16" t="s">
        <v>60</v>
      </c>
    </row>
    <row r="10">
      <c r="A10" s="13" t="s">
        <v>61</v>
      </c>
      <c r="B10" s="16" t="s">
        <v>62</v>
      </c>
      <c r="C10" s="16" t="s">
        <v>63</v>
      </c>
    </row>
    <row r="11">
      <c r="A11" s="13" t="s">
        <v>64</v>
      </c>
      <c r="B11" s="16" t="s">
        <v>65</v>
      </c>
      <c r="C11" s="16" t="s">
        <v>66</v>
      </c>
    </row>
    <row r="12">
      <c r="A12" s="13" t="s">
        <v>67</v>
      </c>
      <c r="B12" s="16" t="s">
        <v>68</v>
      </c>
      <c r="C12" s="16" t="s">
        <v>69</v>
      </c>
    </row>
    <row r="13">
      <c r="A13" s="13" t="s">
        <v>70</v>
      </c>
      <c r="B13" s="16" t="s">
        <v>71</v>
      </c>
      <c r="C13" s="16" t="s">
        <v>72</v>
      </c>
    </row>
    <row r="14">
      <c r="A14" s="13" t="s">
        <v>73</v>
      </c>
      <c r="B14" s="16" t="s">
        <v>74</v>
      </c>
      <c r="C14" s="16" t="s">
        <v>75</v>
      </c>
    </row>
    <row r="15">
      <c r="A15" s="13" t="s">
        <v>76</v>
      </c>
      <c r="B15" s="16" t="s">
        <v>77</v>
      </c>
      <c r="C15" s="16" t="s">
        <v>78</v>
      </c>
    </row>
    <row r="16">
      <c r="A16" s="13" t="s">
        <v>79</v>
      </c>
      <c r="B16" s="16" t="s">
        <v>80</v>
      </c>
      <c r="C16" s="16" t="s">
        <v>81</v>
      </c>
    </row>
    <row r="17">
      <c r="A17" s="13" t="s">
        <v>82</v>
      </c>
      <c r="B17" s="16" t="s">
        <v>83</v>
      </c>
      <c r="C17" s="16" t="s">
        <v>84</v>
      </c>
    </row>
    <row r="18">
      <c r="A18" s="13" t="s">
        <v>86</v>
      </c>
      <c r="B18" s="16" t="s">
        <v>87</v>
      </c>
      <c r="C18" s="16" t="s">
        <v>88</v>
      </c>
    </row>
    <row r="19">
      <c r="A19" s="13" t="s">
        <v>89</v>
      </c>
      <c r="B19" s="16" t="s">
        <v>90</v>
      </c>
      <c r="C19" s="16" t="s">
        <v>91</v>
      </c>
    </row>
    <row r="20">
      <c r="A20" s="13" t="s">
        <v>92</v>
      </c>
      <c r="B20" s="16" t="s">
        <v>93</v>
      </c>
      <c r="C20" s="16" t="s">
        <v>94</v>
      </c>
    </row>
    <row r="21">
      <c r="A21" s="13" t="s">
        <v>95</v>
      </c>
      <c r="B21" s="16" t="s">
        <v>96</v>
      </c>
      <c r="C21" s="16" t="s">
        <v>97</v>
      </c>
    </row>
    <row r="22">
      <c r="A22" s="13" t="s">
        <v>98</v>
      </c>
      <c r="B22" s="16" t="s">
        <v>99</v>
      </c>
      <c r="C22" s="16" t="s">
        <v>100</v>
      </c>
    </row>
    <row r="23">
      <c r="A23" s="13" t="s">
        <v>101</v>
      </c>
      <c r="B23" s="16" t="s">
        <v>102</v>
      </c>
      <c r="C23" s="16" t="s">
        <v>103</v>
      </c>
    </row>
    <row r="24">
      <c r="A24" s="13" t="s">
        <v>104</v>
      </c>
      <c r="B24" s="16" t="s">
        <v>105</v>
      </c>
      <c r="C24" s="16" t="s">
        <v>106</v>
      </c>
    </row>
    <row r="25">
      <c r="A25" s="13" t="s">
        <v>107</v>
      </c>
      <c r="B25" s="16" t="s">
        <v>108</v>
      </c>
      <c r="C25" s="16" t="s">
        <v>110</v>
      </c>
    </row>
    <row r="26">
      <c r="A26" s="13" t="s">
        <v>111</v>
      </c>
      <c r="B26" s="16" t="s">
        <v>112</v>
      </c>
      <c r="C26" s="16" t="s">
        <v>113</v>
      </c>
    </row>
    <row r="27">
      <c r="A27" s="13" t="s">
        <v>114</v>
      </c>
      <c r="B27" s="16" t="s">
        <v>115</v>
      </c>
      <c r="C27" s="16" t="s">
        <v>116</v>
      </c>
    </row>
    <row r="28">
      <c r="A28" s="13" t="s">
        <v>117</v>
      </c>
      <c r="B28" s="16" t="s">
        <v>119</v>
      </c>
      <c r="C28" s="16" t="s">
        <v>120</v>
      </c>
    </row>
    <row r="29">
      <c r="A29" s="13" t="s">
        <v>121</v>
      </c>
      <c r="B29" s="16" t="s">
        <v>122</v>
      </c>
      <c r="C29" s="16" t="s">
        <v>124</v>
      </c>
    </row>
    <row r="30">
      <c r="A30" s="13" t="s">
        <v>126</v>
      </c>
      <c r="B30" s="16" t="s">
        <v>127</v>
      </c>
      <c r="C30" s="16" t="s">
        <v>128</v>
      </c>
    </row>
    <row r="31">
      <c r="A31" s="13" t="s">
        <v>129</v>
      </c>
      <c r="B31" s="16" t="s">
        <v>131</v>
      </c>
      <c r="C31" s="16" t="s">
        <v>133</v>
      </c>
    </row>
    <row r="32">
      <c r="A32" s="13" t="s">
        <v>134</v>
      </c>
      <c r="B32" s="25">
        <v>-0.975174966237095</v>
      </c>
      <c r="C32" s="16" t="s">
        <v>135</v>
      </c>
    </row>
    <row r="33">
      <c r="A33" s="13" t="s">
        <v>138</v>
      </c>
      <c r="B33" s="16" t="s">
        <v>139</v>
      </c>
      <c r="C33" s="16" t="s">
        <v>140</v>
      </c>
    </row>
    <row r="34">
      <c r="A34" s="13" t="s">
        <v>141</v>
      </c>
      <c r="B34" s="16" t="s">
        <v>142</v>
      </c>
      <c r="C34" s="16" t="s">
        <v>143</v>
      </c>
    </row>
    <row r="35">
      <c r="A35" s="13" t="s">
        <v>144</v>
      </c>
      <c r="B35" s="16" t="s">
        <v>145</v>
      </c>
      <c r="C35" s="16" t="s">
        <v>146</v>
      </c>
    </row>
    <row r="36">
      <c r="A36" s="13" t="s">
        <v>147</v>
      </c>
      <c r="B36" s="16" t="s">
        <v>148</v>
      </c>
      <c r="C36" s="16" t="s">
        <v>149</v>
      </c>
    </row>
    <row r="37">
      <c r="A37" s="13" t="s">
        <v>150</v>
      </c>
      <c r="B37" s="16" t="s">
        <v>151</v>
      </c>
      <c r="C37" s="16" t="s">
        <v>152</v>
      </c>
    </row>
    <row r="38">
      <c r="A38" s="13" t="s">
        <v>153</v>
      </c>
      <c r="B38" s="16" t="s">
        <v>154</v>
      </c>
      <c r="C38" s="16" t="s">
        <v>155</v>
      </c>
    </row>
    <row r="39">
      <c r="A39" s="13" t="s">
        <v>156</v>
      </c>
      <c r="B39" s="16" t="s">
        <v>157</v>
      </c>
      <c r="C39" s="16" t="s">
        <v>158</v>
      </c>
    </row>
    <row r="40">
      <c r="A40" s="13" t="s">
        <v>159</v>
      </c>
      <c r="B40" s="16" t="s">
        <v>160</v>
      </c>
      <c r="C40" s="16" t="s">
        <v>161</v>
      </c>
    </row>
    <row r="41">
      <c r="A41" s="13" t="s">
        <v>162</v>
      </c>
      <c r="B41" s="16" t="s">
        <v>163</v>
      </c>
      <c r="C41" s="16" t="s">
        <v>164</v>
      </c>
    </row>
    <row r="42">
      <c r="A42" s="13" t="s">
        <v>165</v>
      </c>
      <c r="B42" s="16" t="s">
        <v>166</v>
      </c>
      <c r="C42" s="16" t="s">
        <v>167</v>
      </c>
    </row>
    <row r="43">
      <c r="A43" s="13" t="s">
        <v>169</v>
      </c>
      <c r="B43" s="16" t="s">
        <v>170</v>
      </c>
      <c r="C43" s="16" t="s">
        <v>171</v>
      </c>
    </row>
    <row r="44">
      <c r="A44" s="13" t="s">
        <v>172</v>
      </c>
      <c r="B44" s="16" t="s">
        <v>173</v>
      </c>
      <c r="C44" s="16" t="s">
        <v>174</v>
      </c>
    </row>
    <row r="45">
      <c r="A45" s="13" t="s">
        <v>176</v>
      </c>
      <c r="B45" s="16" t="s">
        <v>177</v>
      </c>
      <c r="C45" s="16" t="s">
        <v>178</v>
      </c>
    </row>
    <row r="46">
      <c r="A46" s="13" t="s">
        <v>179</v>
      </c>
      <c r="B46" s="16" t="s">
        <v>180</v>
      </c>
      <c r="C46" s="16" t="s">
        <v>181</v>
      </c>
    </row>
    <row r="47">
      <c r="A47" s="13" t="s">
        <v>182</v>
      </c>
      <c r="B47" s="16" t="s">
        <v>183</v>
      </c>
      <c r="C47" s="16" t="s">
        <v>184</v>
      </c>
    </row>
    <row r="48">
      <c r="A48" s="13" t="s">
        <v>185</v>
      </c>
      <c r="B48" s="16" t="s">
        <v>186</v>
      </c>
      <c r="C48" s="16" t="s">
        <v>187</v>
      </c>
    </row>
    <row r="49">
      <c r="A49" s="13" t="s">
        <v>188</v>
      </c>
      <c r="B49" s="16" t="s">
        <v>189</v>
      </c>
      <c r="C49" s="16" t="s">
        <v>190</v>
      </c>
    </row>
    <row r="50">
      <c r="A50" s="13" t="s">
        <v>191</v>
      </c>
      <c r="B50" s="16" t="s">
        <v>192</v>
      </c>
      <c r="C50" s="16" t="s">
        <v>193</v>
      </c>
    </row>
    <row r="51">
      <c r="A51" s="23" t="s">
        <v>194</v>
      </c>
      <c r="B51" s="16" t="s">
        <v>195</v>
      </c>
      <c r="C51" s="16" t="s">
        <v>196</v>
      </c>
    </row>
    <row r="52">
      <c r="A52" s="27" t="s">
        <v>197</v>
      </c>
      <c r="B52" s="28" t="s">
        <v>198</v>
      </c>
      <c r="C52" s="28" t="s">
        <v>199</v>
      </c>
    </row>
    <row r="53">
      <c r="A53" s="27" t="s">
        <v>200</v>
      </c>
      <c r="B53" s="28" t="s">
        <v>201</v>
      </c>
      <c r="C53" s="28" t="s">
        <v>202</v>
      </c>
    </row>
    <row r="54">
      <c r="A54" s="27" t="s">
        <v>203</v>
      </c>
      <c r="B54" s="28" t="s">
        <v>204</v>
      </c>
      <c r="C54" s="28" t="s">
        <v>205</v>
      </c>
    </row>
    <row r="55">
      <c r="A55" s="27" t="s">
        <v>206</v>
      </c>
      <c r="B55" s="28" t="s">
        <v>207</v>
      </c>
      <c r="C55" s="28" t="s">
        <v>208</v>
      </c>
    </row>
    <row r="56">
      <c r="A56" s="27" t="s">
        <v>209</v>
      </c>
      <c r="B56" s="28" t="s">
        <v>210</v>
      </c>
      <c r="C56" s="28" t="s">
        <v>211</v>
      </c>
    </row>
    <row r="57">
      <c r="A57" s="27" t="s">
        <v>212</v>
      </c>
      <c r="B57" s="28" t="s">
        <v>213</v>
      </c>
      <c r="C57" s="28" t="s">
        <v>214</v>
      </c>
    </row>
    <row r="58">
      <c r="A58" s="27" t="s">
        <v>215</v>
      </c>
      <c r="B58" s="28" t="s">
        <v>216</v>
      </c>
      <c r="C58" s="28" t="s">
        <v>218</v>
      </c>
    </row>
    <row r="59">
      <c r="A59" s="27" t="s">
        <v>219</v>
      </c>
      <c r="B59" s="28" t="s">
        <v>220</v>
      </c>
      <c r="C59" s="28" t="s">
        <v>221</v>
      </c>
    </row>
    <row r="60">
      <c r="A60" s="27" t="s">
        <v>222</v>
      </c>
      <c r="B60" s="28" t="s">
        <v>223</v>
      </c>
      <c r="C60" s="28" t="s">
        <v>224</v>
      </c>
    </row>
    <row r="61">
      <c r="A61" s="27" t="s">
        <v>225</v>
      </c>
      <c r="B61" s="28" t="s">
        <v>226</v>
      </c>
      <c r="C61" s="28" t="s">
        <v>227</v>
      </c>
    </row>
    <row r="62">
      <c r="A62" s="27" t="s">
        <v>228</v>
      </c>
      <c r="B62" s="28" t="s">
        <v>229</v>
      </c>
      <c r="C62" s="28" t="s">
        <v>230</v>
      </c>
    </row>
    <row r="63">
      <c r="A63" s="27" t="s">
        <v>231</v>
      </c>
      <c r="B63" s="28" t="s">
        <v>233</v>
      </c>
      <c r="C63" s="28" t="s">
        <v>234</v>
      </c>
    </row>
    <row r="64">
      <c r="A64" s="27" t="s">
        <v>235</v>
      </c>
      <c r="B64" s="28" t="s">
        <v>236</v>
      </c>
      <c r="C64" s="28" t="s">
        <v>237</v>
      </c>
    </row>
    <row r="65">
      <c r="A65" s="27" t="s">
        <v>238</v>
      </c>
      <c r="B65" s="28" t="s">
        <v>239</v>
      </c>
      <c r="C65" s="28" t="s">
        <v>240</v>
      </c>
    </row>
    <row r="66">
      <c r="A66" s="27" t="s">
        <v>241</v>
      </c>
      <c r="B66" s="28" t="s">
        <v>242</v>
      </c>
      <c r="C66" s="28" t="s">
        <v>243</v>
      </c>
    </row>
    <row r="67">
      <c r="A67" s="27" t="s">
        <v>245</v>
      </c>
      <c r="B67" s="28" t="s">
        <v>246</v>
      </c>
      <c r="C67" s="28" t="s">
        <v>247</v>
      </c>
    </row>
    <row r="68">
      <c r="A68" s="27" t="s">
        <v>248</v>
      </c>
      <c r="B68" s="28" t="s">
        <v>249</v>
      </c>
      <c r="C68" s="28" t="s">
        <v>250</v>
      </c>
    </row>
    <row r="69">
      <c r="A69" s="27" t="s">
        <v>251</v>
      </c>
      <c r="B69" s="28" t="s">
        <v>252</v>
      </c>
      <c r="C69" s="28" t="s">
        <v>253</v>
      </c>
    </row>
    <row r="70">
      <c r="A70" s="27" t="s">
        <v>254</v>
      </c>
      <c r="B70" s="28" t="s">
        <v>255</v>
      </c>
      <c r="C70" s="28" t="s">
        <v>256</v>
      </c>
    </row>
    <row r="71">
      <c r="A71" s="27" t="s">
        <v>257</v>
      </c>
      <c r="B71" s="28" t="s">
        <v>258</v>
      </c>
      <c r="C71" s="28" t="s">
        <v>259</v>
      </c>
    </row>
    <row r="72">
      <c r="A72" s="27" t="s">
        <v>260</v>
      </c>
      <c r="B72" s="28" t="s">
        <v>261</v>
      </c>
      <c r="C72" s="28" t="s">
        <v>262</v>
      </c>
    </row>
    <row r="73">
      <c r="A73" s="27" t="s">
        <v>263</v>
      </c>
      <c r="B73" s="28" t="s">
        <v>264</v>
      </c>
      <c r="C73" s="28" t="s">
        <v>265</v>
      </c>
    </row>
    <row r="74">
      <c r="A74" s="27" t="s">
        <v>266</v>
      </c>
      <c r="B74" s="28" t="s">
        <v>267</v>
      </c>
      <c r="C74" s="28" t="s">
        <v>268</v>
      </c>
    </row>
    <row r="75">
      <c r="A75" s="27" t="s">
        <v>269</v>
      </c>
      <c r="B75" s="28" t="s">
        <v>270</v>
      </c>
      <c r="C75" s="28" t="s">
        <v>271</v>
      </c>
    </row>
    <row r="76">
      <c r="A76" s="27" t="s">
        <v>273</v>
      </c>
      <c r="B76" s="28" t="s">
        <v>274</v>
      </c>
      <c r="C76" s="28" t="s">
        <v>275</v>
      </c>
    </row>
    <row r="77">
      <c r="A77" s="27" t="s">
        <v>276</v>
      </c>
      <c r="B77" s="28" t="s">
        <v>278</v>
      </c>
      <c r="C77" s="28" t="s">
        <v>279</v>
      </c>
    </row>
    <row r="78">
      <c r="A78" s="27" t="s">
        <v>280</v>
      </c>
      <c r="B78" s="28" t="s">
        <v>281</v>
      </c>
      <c r="C78" s="28" t="s">
        <v>282</v>
      </c>
    </row>
    <row r="79">
      <c r="A79" s="27" t="s">
        <v>283</v>
      </c>
      <c r="B79" s="28" t="s">
        <v>285</v>
      </c>
      <c r="C79" s="28" t="s">
        <v>286</v>
      </c>
    </row>
    <row r="80">
      <c r="A80" s="27" t="s">
        <v>287</v>
      </c>
      <c r="B80" s="28" t="s">
        <v>288</v>
      </c>
      <c r="C80" s="28" t="s">
        <v>289</v>
      </c>
    </row>
    <row r="81">
      <c r="A81" s="27" t="s">
        <v>290</v>
      </c>
      <c r="B81" s="28" t="s">
        <v>291</v>
      </c>
      <c r="C81" s="28" t="s">
        <v>292</v>
      </c>
    </row>
    <row r="82">
      <c r="A82" s="27" t="s">
        <v>293</v>
      </c>
      <c r="B82" s="28" t="s">
        <v>294</v>
      </c>
      <c r="C82" s="28" t="s">
        <v>295</v>
      </c>
    </row>
    <row r="83">
      <c r="A83" s="27" t="s">
        <v>296</v>
      </c>
      <c r="B83" s="28" t="s">
        <v>297</v>
      </c>
      <c r="C83" s="28" t="s">
        <v>298</v>
      </c>
    </row>
    <row r="84">
      <c r="A84" s="27" t="s">
        <v>299</v>
      </c>
      <c r="B84" s="28" t="s">
        <v>300</v>
      </c>
      <c r="C84" s="28" t="s">
        <v>301</v>
      </c>
    </row>
    <row r="85">
      <c r="A85" s="27" t="s">
        <v>302</v>
      </c>
      <c r="B85" s="28" t="s">
        <v>303</v>
      </c>
      <c r="C85" s="28" t="s">
        <v>304</v>
      </c>
    </row>
    <row r="86">
      <c r="A86" s="27" t="s">
        <v>305</v>
      </c>
      <c r="B86" s="28" t="s">
        <v>306</v>
      </c>
      <c r="C86" s="28" t="s">
        <v>307</v>
      </c>
    </row>
    <row r="87">
      <c r="A87" s="27" t="s">
        <v>308</v>
      </c>
      <c r="B87" s="28" t="s">
        <v>309</v>
      </c>
      <c r="C87" s="28" t="s">
        <v>310</v>
      </c>
    </row>
    <row r="88">
      <c r="A88" s="27" t="s">
        <v>311</v>
      </c>
      <c r="B88" s="28" t="s">
        <v>312</v>
      </c>
      <c r="C88" s="28" t="s">
        <v>313</v>
      </c>
    </row>
    <row r="89">
      <c r="A89" s="27" t="s">
        <v>314</v>
      </c>
      <c r="B89" s="28" t="s">
        <v>315</v>
      </c>
      <c r="C89" s="28" t="s">
        <v>316</v>
      </c>
    </row>
    <row r="90">
      <c r="A90" s="27" t="s">
        <v>317</v>
      </c>
      <c r="B90" s="28" t="s">
        <v>318</v>
      </c>
      <c r="C90" s="28" t="s">
        <v>319</v>
      </c>
    </row>
    <row r="91">
      <c r="A91" s="27" t="s">
        <v>320</v>
      </c>
      <c r="B91" s="28" t="s">
        <v>321</v>
      </c>
      <c r="C91" s="28" t="s">
        <v>322</v>
      </c>
    </row>
    <row r="92">
      <c r="A92" s="27" t="s">
        <v>323</v>
      </c>
      <c r="B92" s="28" t="s">
        <v>324</v>
      </c>
      <c r="C92" s="28" t="s">
        <v>326</v>
      </c>
    </row>
    <row r="93">
      <c r="A93" s="27" t="s">
        <v>327</v>
      </c>
      <c r="B93" s="28" t="s">
        <v>328</v>
      </c>
      <c r="C93" s="28" t="s">
        <v>330</v>
      </c>
    </row>
    <row r="94">
      <c r="A94" s="27" t="s">
        <v>331</v>
      </c>
      <c r="B94" s="28" t="s">
        <v>334</v>
      </c>
      <c r="C94" s="28" t="s">
        <v>336</v>
      </c>
    </row>
    <row r="95">
      <c r="A95" s="27" t="s">
        <v>337</v>
      </c>
      <c r="B95" s="28" t="s">
        <v>339</v>
      </c>
      <c r="C95" s="28" t="s">
        <v>340</v>
      </c>
    </row>
    <row r="96">
      <c r="A96" s="27" t="s">
        <v>342</v>
      </c>
      <c r="B96" s="28" t="s">
        <v>344</v>
      </c>
      <c r="C96" s="28" t="s">
        <v>345</v>
      </c>
    </row>
    <row r="97">
      <c r="A97" s="27" t="s">
        <v>347</v>
      </c>
      <c r="B97" s="28" t="s">
        <v>348</v>
      </c>
      <c r="C97" s="28" t="s">
        <v>349</v>
      </c>
    </row>
    <row r="98">
      <c r="A98" s="27" t="s">
        <v>350</v>
      </c>
      <c r="B98" s="28" t="s">
        <v>351</v>
      </c>
      <c r="C98" s="28" t="s">
        <v>352</v>
      </c>
    </row>
    <row r="99">
      <c r="A99" s="27" t="s">
        <v>354</v>
      </c>
      <c r="B99" s="28" t="s">
        <v>355</v>
      </c>
      <c r="C99" s="28" t="s">
        <v>357</v>
      </c>
    </row>
    <row r="100">
      <c r="A100" s="27" t="s">
        <v>359</v>
      </c>
      <c r="B100" s="28" t="s">
        <v>360</v>
      </c>
      <c r="C100" s="28" t="s">
        <v>362</v>
      </c>
    </row>
    <row r="101">
      <c r="A101" s="27" t="s">
        <v>363</v>
      </c>
      <c r="B101" s="28" t="s">
        <v>364</v>
      </c>
      <c r="C101" s="28" t="s">
        <v>366</v>
      </c>
    </row>
    <row r="102">
      <c r="A102" s="27" t="s">
        <v>367</v>
      </c>
      <c r="B102" s="28" t="s">
        <v>369</v>
      </c>
      <c r="C102" s="28" t="s">
        <v>370</v>
      </c>
    </row>
    <row r="103">
      <c r="A103" s="27" t="s">
        <v>372</v>
      </c>
      <c r="B103" s="28" t="s">
        <v>373</v>
      </c>
      <c r="C103" s="28" t="s">
        <v>374</v>
      </c>
    </row>
    <row r="104">
      <c r="A104" s="27" t="s">
        <v>376</v>
      </c>
      <c r="B104" s="28" t="s">
        <v>377</v>
      </c>
      <c r="C104" s="28" t="s">
        <v>378</v>
      </c>
    </row>
    <row r="105">
      <c r="A105" s="27" t="s">
        <v>380</v>
      </c>
      <c r="B105" s="28" t="s">
        <v>381</v>
      </c>
      <c r="C105" s="28" t="s">
        <v>383</v>
      </c>
    </row>
    <row r="106">
      <c r="A106" s="27" t="s">
        <v>385</v>
      </c>
      <c r="B106" s="28" t="s">
        <v>386</v>
      </c>
      <c r="C106" s="28" t="s">
        <v>387</v>
      </c>
    </row>
    <row r="107">
      <c r="A107" s="27" t="s">
        <v>388</v>
      </c>
      <c r="B107" s="28" t="s">
        <v>389</v>
      </c>
      <c r="C107" s="28" t="s">
        <v>390</v>
      </c>
    </row>
    <row r="108">
      <c r="A108" s="27" t="s">
        <v>391</v>
      </c>
      <c r="B108" s="28" t="s">
        <v>392</v>
      </c>
      <c r="C108" s="28" t="s">
        <v>393</v>
      </c>
    </row>
    <row r="109">
      <c r="A109" s="27" t="s">
        <v>394</v>
      </c>
      <c r="B109" s="28" t="s">
        <v>395</v>
      </c>
      <c r="C109" s="28" t="s">
        <v>396</v>
      </c>
    </row>
    <row r="110">
      <c r="A110" s="27" t="s">
        <v>397</v>
      </c>
      <c r="B110" s="28" t="s">
        <v>398</v>
      </c>
      <c r="C110" s="28" t="s">
        <v>399</v>
      </c>
    </row>
    <row r="111">
      <c r="A111" s="27" t="s">
        <v>400</v>
      </c>
      <c r="B111" s="28" t="s">
        <v>401</v>
      </c>
      <c r="C111" s="28" t="s">
        <v>402</v>
      </c>
    </row>
    <row r="112">
      <c r="A112" s="27" t="s">
        <v>403</v>
      </c>
      <c r="B112" s="28" t="s">
        <v>404</v>
      </c>
      <c r="C112" s="28" t="s">
        <v>405</v>
      </c>
    </row>
    <row r="113">
      <c r="A113" s="27" t="s">
        <v>406</v>
      </c>
      <c r="B113" s="28" t="s">
        <v>407</v>
      </c>
      <c r="C113" s="28" t="s">
        <v>408</v>
      </c>
    </row>
    <row r="114">
      <c r="A114" s="27" t="s">
        <v>409</v>
      </c>
      <c r="B114" s="28" t="s">
        <v>410</v>
      </c>
      <c r="C114" s="28" t="s">
        <v>411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5" t="s">
        <v>29</v>
      </c>
      <c r="F1" s="5" t="s">
        <v>30</v>
      </c>
    </row>
    <row r="2">
      <c r="F2" s="5" t="s">
        <v>31</v>
      </c>
    </row>
    <row r="4">
      <c r="F4" s="5" t="s">
        <v>32</v>
      </c>
    </row>
    <row r="5">
      <c r="C5" s="5" t="s">
        <v>29</v>
      </c>
    </row>
    <row r="6">
      <c r="F6" s="5" t="s">
        <v>33</v>
      </c>
    </row>
    <row r="8">
      <c r="F8" s="5" t="s">
        <v>34</v>
      </c>
    </row>
    <row r="10">
      <c r="F10" s="5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" t="s">
        <v>118</v>
      </c>
    </row>
    <row r="5">
      <c r="L5" s="5" t="s">
        <v>125</v>
      </c>
    </row>
    <row r="16">
      <c r="D16" s="5" t="s">
        <v>29</v>
      </c>
    </row>
    <row r="17">
      <c r="F17" s="5" t="s">
        <v>130</v>
      </c>
    </row>
    <row r="67">
      <c r="F67" s="5" t="s">
        <v>137</v>
      </c>
    </row>
  </sheetData>
  <mergeCells count="1">
    <mergeCell ref="A1:F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0"/>
    <col customWidth="1" min="2" max="2" width="10.88"/>
    <col customWidth="1" min="3" max="3" width="16.13"/>
    <col customWidth="1" min="4" max="4" width="19.5"/>
    <col customWidth="1" min="5" max="5" width="7.63"/>
    <col customWidth="1" min="6" max="6" width="10.63"/>
    <col customWidth="1" min="7" max="7" width="11.75"/>
    <col customWidth="1" min="8" max="9" width="14.0"/>
    <col customWidth="1" min="10" max="10" width="11.75"/>
    <col customWidth="1" min="11" max="11" width="12.25"/>
    <col customWidth="1" min="12" max="12" width="9.25"/>
    <col customWidth="1" min="13" max="13" width="13.13"/>
    <col customWidth="1" min="14" max="14" width="8.5"/>
    <col customWidth="1" min="15" max="15" width="6.38"/>
    <col customWidth="1" min="16" max="16" width="8.5"/>
    <col customWidth="1" min="17" max="17" width="9.75"/>
    <col customWidth="1" min="18" max="18" width="8.5"/>
    <col customWidth="1" min="19" max="19" width="8.63"/>
    <col customWidth="1" min="20" max="20" width="8.75"/>
    <col customWidth="1" min="21" max="21" width="8.88"/>
    <col customWidth="1" min="22" max="22" width="8.5"/>
    <col customWidth="1" min="23" max="23" width="9.25"/>
    <col customWidth="1" min="24" max="24" width="8.5"/>
    <col customWidth="1" min="25" max="25" width="7.5"/>
    <col customWidth="1" min="26" max="26" width="10.0"/>
    <col customWidth="1" min="27" max="27" width="11.88"/>
    <col customWidth="1" min="28" max="28" width="7.13"/>
    <col customWidth="1" min="29" max="30" width="7.63"/>
  </cols>
  <sheetData>
    <row r="1" ht="14.25" customHeight="1">
      <c r="A1" s="29" t="s">
        <v>277</v>
      </c>
      <c r="B1" s="30"/>
      <c r="C1" s="30"/>
      <c r="D1" s="30"/>
      <c r="E1" s="30"/>
      <c r="F1" s="30"/>
      <c r="G1" s="30"/>
      <c r="H1" s="31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2"/>
      <c r="AD1" s="32"/>
    </row>
    <row r="2" ht="14.25" customHeight="1">
      <c r="A2" s="29"/>
      <c r="B2" s="30"/>
      <c r="C2" s="30"/>
      <c r="D2" s="30"/>
      <c r="E2" s="30"/>
      <c r="F2" s="30"/>
      <c r="G2" s="30"/>
      <c r="H2" s="31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2"/>
      <c r="AD2" s="32"/>
    </row>
    <row r="3" ht="14.25" customHeight="1">
      <c r="A3" s="29"/>
      <c r="B3" s="30"/>
      <c r="C3" s="30"/>
      <c r="D3" s="30"/>
      <c r="E3" s="30"/>
      <c r="F3" s="30"/>
      <c r="G3" s="30"/>
      <c r="H3" s="31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2"/>
      <c r="AD3" s="32"/>
    </row>
    <row r="4" ht="14.25" customHeight="1">
      <c r="A4" s="1" t="s">
        <v>0</v>
      </c>
      <c r="B4" s="33" t="s">
        <v>329</v>
      </c>
      <c r="C4" s="34" t="s">
        <v>333</v>
      </c>
      <c r="D4" s="35" t="s">
        <v>335</v>
      </c>
      <c r="E4" s="36" t="s">
        <v>338</v>
      </c>
      <c r="F4" s="37" t="s">
        <v>341</v>
      </c>
      <c r="G4" s="38" t="s">
        <v>343</v>
      </c>
      <c r="H4" s="39" t="s">
        <v>346</v>
      </c>
      <c r="I4" s="40" t="s">
        <v>346</v>
      </c>
      <c r="J4" s="41" t="s">
        <v>353</v>
      </c>
      <c r="K4" s="33" t="s">
        <v>356</v>
      </c>
      <c r="L4" s="33" t="s">
        <v>358</v>
      </c>
      <c r="M4" s="34" t="s">
        <v>361</v>
      </c>
      <c r="N4" s="34" t="s">
        <v>358</v>
      </c>
      <c r="O4" s="35" t="s">
        <v>365</v>
      </c>
      <c r="P4" s="35" t="s">
        <v>358</v>
      </c>
      <c r="Q4" s="36" t="s">
        <v>368</v>
      </c>
      <c r="R4" s="36" t="s">
        <v>358</v>
      </c>
      <c r="S4" s="37" t="s">
        <v>371</v>
      </c>
      <c r="T4" s="37" t="s">
        <v>358</v>
      </c>
      <c r="U4" s="38" t="s">
        <v>375</v>
      </c>
      <c r="V4" s="38" t="s">
        <v>358</v>
      </c>
      <c r="W4" s="40" t="s">
        <v>379</v>
      </c>
      <c r="X4" s="40" t="s">
        <v>358</v>
      </c>
      <c r="Y4" s="41" t="s">
        <v>382</v>
      </c>
      <c r="Z4" s="41" t="s">
        <v>358</v>
      </c>
      <c r="AA4" s="42" t="s">
        <v>384</v>
      </c>
      <c r="AB4" s="43" t="s">
        <v>14</v>
      </c>
      <c r="AC4" s="32"/>
      <c r="AD4" s="32"/>
    </row>
    <row r="5" ht="14.25" customHeight="1">
      <c r="A5" s="6" t="s">
        <v>23</v>
      </c>
      <c r="B5" s="44">
        <v>3.0</v>
      </c>
      <c r="C5" s="7">
        <v>1.0</v>
      </c>
      <c r="D5" s="44">
        <v>14.59</v>
      </c>
      <c r="E5" s="44" t="s">
        <v>85</v>
      </c>
      <c r="F5" s="44">
        <v>313.0</v>
      </c>
      <c r="G5" s="44">
        <v>76.0</v>
      </c>
      <c r="H5" s="45" t="s">
        <v>29</v>
      </c>
      <c r="I5" s="10"/>
      <c r="J5" s="46" t="s">
        <v>27</v>
      </c>
      <c r="K5" s="46">
        <f t="shared" ref="K5:K117" si="1">ROUND(5-((B5-MIN($B:$B))/(MAX($B:$B)-MIN($B:$B)))*4,0)</f>
        <v>1</v>
      </c>
      <c r="L5" s="46">
        <f t="shared" ref="L5:L117" si="2">K5*0.311</f>
        <v>0.311</v>
      </c>
      <c r="M5" s="46">
        <f t="shared" ref="M5:M117" si="3">ROUND(5-((C5-MIN($C:$C))/(MAX($C:$C)-MIN($C:$C)))*4,0)</f>
        <v>5</v>
      </c>
      <c r="N5" s="46">
        <f t="shared" ref="N5:N117" si="4">M5*0.112</f>
        <v>0.56</v>
      </c>
      <c r="O5" s="46">
        <f t="shared" ref="O5:O117" si="5">ROUND(5-((D5-MIN($D:$D))/(MAX($D:$D)-MIN($D:$D)))*4,0)</f>
        <v>5</v>
      </c>
      <c r="P5" s="46">
        <f t="shared" ref="P5:P117" si="6">O5*0.161</f>
        <v>0.805</v>
      </c>
      <c r="Q5" s="46">
        <f t="array" ref="Q5">IFS(E5="AA",5,E5="BB",4,E5="CC",3,E5="DD",2, E5="EE",1,E5="DDR",1)</f>
        <v>1</v>
      </c>
      <c r="R5" s="46">
        <f t="shared" ref="R5:R117" si="7">Q5*0.19</f>
        <v>0.19</v>
      </c>
      <c r="S5" s="46">
        <f t="shared" ref="S5:S117" si="8">ROUND(5-((F5-MIN($F:$F))/(MAX($F:$F)-MIN($F:$F)))*4,0)</f>
        <v>4</v>
      </c>
      <c r="T5" s="46">
        <f t="shared" ref="T5:T117" si="9">S5*0.05</f>
        <v>0.2</v>
      </c>
      <c r="U5" s="46">
        <f t="shared" ref="U5:U117" si="10">ROUND(1+((G5-MIN($G:$G))/(MAX($G:$G)-MIN($G:$G)))*4,0)</f>
        <v>1</v>
      </c>
      <c r="V5" s="46">
        <f t="shared" ref="V5:V117" si="11">U5*0.036</f>
        <v>0.036</v>
      </c>
      <c r="W5" s="46">
        <v>0.0</v>
      </c>
      <c r="X5" s="46">
        <v>0.0</v>
      </c>
      <c r="Y5" s="46">
        <f t="array" ref="Y5">IFS(
J5="hutan",5,
J5="hutan, sungai",5,
J5="pekarangan",1,
J5="hutan, jalan desa",3,
J5="hutan, kebun sawit",1,
J5="hutan, jalan",3,
J5="sawah",3,
J5="kebun",3,
J5="sawah, kebun",1,
J5="kebun sawit",1,
J5="Lahan GI",5,
J5="kebun sawit, jalan provinsi",1,
J5="lahan kosong",5,
J5="kebun, lahan kosong",3,
J5="jalan desa, kebun sawit",1,
J5="sungai",5
)</f>
        <v>5</v>
      </c>
      <c r="Z5" s="46">
        <f t="shared" ref="Z5:Z117" si="12">Y5*0.073</f>
        <v>0.365</v>
      </c>
      <c r="AA5" s="46">
        <f t="shared" ref="AA5:AA117" si="13">L5+N5+P5+R5+T5+V5+X5+Z5</f>
        <v>2.467</v>
      </c>
      <c r="AB5" s="46">
        <f t="shared" ref="AB5:AB117" si="14">ROUND(1+((AA5-MIN($AA:$AA))/(MAX($AA:$AA)-MIN($AA:$AA)))*4,0)</f>
        <v>2</v>
      </c>
    </row>
    <row r="6" ht="14.25" customHeight="1">
      <c r="A6" s="6" t="s">
        <v>37</v>
      </c>
      <c r="B6" s="44">
        <v>2.0</v>
      </c>
      <c r="C6" s="7">
        <v>1.0</v>
      </c>
      <c r="D6" s="44">
        <v>20.0</v>
      </c>
      <c r="E6" s="44" t="s">
        <v>109</v>
      </c>
      <c r="F6" s="44">
        <v>114.0</v>
      </c>
      <c r="G6" s="44">
        <v>320.0</v>
      </c>
      <c r="H6" s="51">
        <v>263.179</v>
      </c>
      <c r="I6" s="52">
        <f t="shared" ref="I6:I117" si="15">ROUND(H6,0)</f>
        <v>263</v>
      </c>
      <c r="J6" s="46" t="s">
        <v>27</v>
      </c>
      <c r="K6" s="46">
        <f t="shared" si="1"/>
        <v>3</v>
      </c>
      <c r="L6" s="46">
        <f t="shared" si="2"/>
        <v>0.933</v>
      </c>
      <c r="M6" s="46">
        <f t="shared" si="3"/>
        <v>5</v>
      </c>
      <c r="N6" s="46">
        <f t="shared" si="4"/>
        <v>0.56</v>
      </c>
      <c r="O6" s="46">
        <f t="shared" si="5"/>
        <v>5</v>
      </c>
      <c r="P6" s="46">
        <f t="shared" si="6"/>
        <v>0.805</v>
      </c>
      <c r="Q6" s="46">
        <f t="array" ref="Q6">IFS(E6="AA",5,E6="BB",4,E6="CC",3,E6="DD",2, E6="EE",1,E6="DDR",1)</f>
        <v>4</v>
      </c>
      <c r="R6" s="46">
        <f t="shared" si="7"/>
        <v>0.76</v>
      </c>
      <c r="S6" s="46">
        <f t="shared" si="8"/>
        <v>5</v>
      </c>
      <c r="T6" s="46">
        <f t="shared" si="9"/>
        <v>0.25</v>
      </c>
      <c r="U6" s="46">
        <f t="shared" si="10"/>
        <v>1</v>
      </c>
      <c r="V6" s="46">
        <f t="shared" si="11"/>
        <v>0.036</v>
      </c>
      <c r="W6" s="46">
        <f t="shared" ref="W6:W16" si="16">MAX(1,MIN(5,
ROUND(5-(ABS(H6-275)/(275-100)*4),0)
))</f>
        <v>5</v>
      </c>
      <c r="X6" s="46">
        <f t="shared" ref="X6:X123" si="17">W6*0.067</f>
        <v>0.335</v>
      </c>
      <c r="Y6" s="46">
        <f t="array" ref="Y6">IFS(
J6="hutan",5,
J6="hutan, sungai",5,
J6="pekarangan",1,
J6="hutan, jalan desa",3,
J6="hutan, kebun sawit",1,
J6="hutan, jalan",3,
J6="sawah",3,
J6="kebun",3,
J6="sawah, kebun",1,
J6="kebun sawit",1,
J6="Lahan GI",5,
J6="kebun sawit, jalan provinsi",1,
J6="lahan kosong",5,
J6="kebun, lahan kosong",3,
J6="jalan desa, kebun sawit",1,
J6="sungai",5
)</f>
        <v>5</v>
      </c>
      <c r="Z6" s="46">
        <f t="shared" si="12"/>
        <v>0.365</v>
      </c>
      <c r="AA6" s="46">
        <f t="shared" si="13"/>
        <v>4.044</v>
      </c>
      <c r="AB6" s="46">
        <f t="shared" si="14"/>
        <v>4</v>
      </c>
    </row>
    <row r="7" ht="14.25" customHeight="1">
      <c r="A7" s="6" t="s">
        <v>41</v>
      </c>
      <c r="B7" s="44">
        <v>2.0</v>
      </c>
      <c r="C7" s="7">
        <v>3.0</v>
      </c>
      <c r="D7" s="44">
        <v>6.0</v>
      </c>
      <c r="E7" s="44" t="s">
        <v>132</v>
      </c>
      <c r="F7" s="44">
        <v>18.0</v>
      </c>
      <c r="G7" s="44">
        <v>456.0</v>
      </c>
      <c r="H7" s="51">
        <v>377.359</v>
      </c>
      <c r="I7" s="52">
        <f t="shared" si="15"/>
        <v>377</v>
      </c>
      <c r="J7" s="46" t="s">
        <v>123</v>
      </c>
      <c r="K7" s="46">
        <f t="shared" si="1"/>
        <v>3</v>
      </c>
      <c r="L7" s="46">
        <f t="shared" si="2"/>
        <v>0.933</v>
      </c>
      <c r="M7" s="46">
        <f t="shared" si="3"/>
        <v>1</v>
      </c>
      <c r="N7" s="46">
        <f t="shared" si="4"/>
        <v>0.112</v>
      </c>
      <c r="O7" s="46">
        <f t="shared" si="5"/>
        <v>5</v>
      </c>
      <c r="P7" s="46">
        <f t="shared" si="6"/>
        <v>0.805</v>
      </c>
      <c r="Q7" s="46">
        <f t="array" ref="Q7">IFS(E7="AA",5,E7="BB",4,E7="CC",3,E7="DD",2, E7="EE",1,E7="DDR",1)</f>
        <v>3</v>
      </c>
      <c r="R7" s="46">
        <f t="shared" si="7"/>
        <v>0.57</v>
      </c>
      <c r="S7" s="46">
        <f t="shared" si="8"/>
        <v>5</v>
      </c>
      <c r="T7" s="46">
        <f t="shared" si="9"/>
        <v>0.25</v>
      </c>
      <c r="U7" s="46">
        <f t="shared" si="10"/>
        <v>2</v>
      </c>
      <c r="V7" s="46">
        <f t="shared" si="11"/>
        <v>0.072</v>
      </c>
      <c r="W7" s="46">
        <f t="shared" si="16"/>
        <v>3</v>
      </c>
      <c r="X7" s="46">
        <f t="shared" si="17"/>
        <v>0.201</v>
      </c>
      <c r="Y7" s="46">
        <f t="array" ref="Y7">IFS(
J7="hutan",5,
J7="hutan, sungai",5,
J7="pekarangan",1,
J7="hutan, jalan desa",3,
J7="hutan, kebun sawit",1,
J7="hutan, jalan",3,
J7="sawah",3,
J7="kebun",3,
J7="sawah, kebun",1,
J7="kebun sawit",1,
J7="Lahan GI",5,
J7="kebun sawit, jalan provinsi",1,
J7="lahan kosong",5,
J7="kebun, lahan kosong",3,
J7="jalan desa, kebun sawit",1,
J7="sungai",5
)</f>
        <v>1</v>
      </c>
      <c r="Z7" s="46">
        <f t="shared" si="12"/>
        <v>0.073</v>
      </c>
      <c r="AA7" s="46">
        <f t="shared" si="13"/>
        <v>3.016</v>
      </c>
      <c r="AB7" s="46">
        <f t="shared" si="14"/>
        <v>3</v>
      </c>
    </row>
    <row r="8" ht="14.25" customHeight="1">
      <c r="A8" s="6" t="s">
        <v>44</v>
      </c>
      <c r="B8" s="44">
        <v>2.0</v>
      </c>
      <c r="C8" s="7">
        <v>3.0</v>
      </c>
      <c r="D8" s="44">
        <v>11.0</v>
      </c>
      <c r="E8" s="44" t="s">
        <v>109</v>
      </c>
      <c r="F8" s="44">
        <v>116.0</v>
      </c>
      <c r="G8" s="44">
        <v>746.0</v>
      </c>
      <c r="H8" s="51">
        <v>409.519</v>
      </c>
      <c r="I8" s="52">
        <f t="shared" si="15"/>
        <v>410</v>
      </c>
      <c r="J8" s="46" t="s">
        <v>123</v>
      </c>
      <c r="K8" s="46">
        <f t="shared" si="1"/>
        <v>3</v>
      </c>
      <c r="L8" s="46">
        <f t="shared" si="2"/>
        <v>0.933</v>
      </c>
      <c r="M8" s="46">
        <f t="shared" si="3"/>
        <v>1</v>
      </c>
      <c r="N8" s="46">
        <f t="shared" si="4"/>
        <v>0.112</v>
      </c>
      <c r="O8" s="46">
        <f t="shared" si="5"/>
        <v>5</v>
      </c>
      <c r="P8" s="46">
        <f t="shared" si="6"/>
        <v>0.805</v>
      </c>
      <c r="Q8" s="46">
        <f t="array" ref="Q8">IFS(E8="AA",5,E8="BB",4,E8="CC",3,E8="DD",2, E8="EE",1,E8="DDR",1)</f>
        <v>4</v>
      </c>
      <c r="R8" s="46">
        <f t="shared" si="7"/>
        <v>0.76</v>
      </c>
      <c r="S8" s="46">
        <f t="shared" si="8"/>
        <v>5</v>
      </c>
      <c r="T8" s="46">
        <f t="shared" si="9"/>
        <v>0.25</v>
      </c>
      <c r="U8" s="46">
        <f t="shared" si="10"/>
        <v>2</v>
      </c>
      <c r="V8" s="46">
        <f t="shared" si="11"/>
        <v>0.072</v>
      </c>
      <c r="W8" s="46">
        <f t="shared" si="16"/>
        <v>2</v>
      </c>
      <c r="X8" s="46">
        <f t="shared" si="17"/>
        <v>0.134</v>
      </c>
      <c r="Y8" s="46">
        <f t="array" ref="Y8">IFS(
J8="hutan",5,
J8="hutan, sungai",5,
J8="pekarangan",1,
J8="hutan, jalan desa",3,
J8="hutan, kebun sawit",1,
J8="hutan, jalan",3,
J8="sawah",3,
J8="kebun",3,
J8="sawah, kebun",1,
J8="kebun sawit",1,
J8="Lahan GI",5,
J8="kebun sawit, jalan provinsi",1,
J8="lahan kosong",5,
J8="kebun, lahan kosong",3,
J8="jalan desa, kebun sawit",1,
J8="sungai",5
)</f>
        <v>1</v>
      </c>
      <c r="Z8" s="46">
        <f t="shared" si="12"/>
        <v>0.073</v>
      </c>
      <c r="AA8" s="46">
        <f t="shared" si="13"/>
        <v>3.139</v>
      </c>
      <c r="AB8" s="46">
        <f t="shared" si="14"/>
        <v>3</v>
      </c>
    </row>
    <row r="9" ht="14.25" customHeight="1">
      <c r="A9" s="6" t="s">
        <v>48</v>
      </c>
      <c r="B9" s="44">
        <v>1.0</v>
      </c>
      <c r="C9" s="7">
        <v>3.0</v>
      </c>
      <c r="D9" s="58">
        <v>9.97</v>
      </c>
      <c r="E9" s="58" t="s">
        <v>175</v>
      </c>
      <c r="F9" s="58">
        <v>13.79</v>
      </c>
      <c r="G9" s="44">
        <v>735.0</v>
      </c>
      <c r="H9" s="51">
        <v>392.553</v>
      </c>
      <c r="I9" s="52">
        <f t="shared" si="15"/>
        <v>393</v>
      </c>
      <c r="J9" s="46" t="s">
        <v>168</v>
      </c>
      <c r="K9" s="46">
        <f t="shared" si="1"/>
        <v>5</v>
      </c>
      <c r="L9" s="46">
        <f t="shared" si="2"/>
        <v>1.555</v>
      </c>
      <c r="M9" s="46">
        <f t="shared" si="3"/>
        <v>1</v>
      </c>
      <c r="N9" s="46">
        <f t="shared" si="4"/>
        <v>0.112</v>
      </c>
      <c r="O9" s="46">
        <f t="shared" si="5"/>
        <v>5</v>
      </c>
      <c r="P9" s="46">
        <f t="shared" si="6"/>
        <v>0.805</v>
      </c>
      <c r="Q9" s="46">
        <f t="array" ref="Q9">IFS(E9="AA",5,E9="BB",4,E9="CC",3,E9="DD",2, E9="EE",1,E9="DDR",1)</f>
        <v>5</v>
      </c>
      <c r="R9" s="46">
        <f t="shared" si="7"/>
        <v>0.95</v>
      </c>
      <c r="S9" s="46">
        <f t="shared" si="8"/>
        <v>5</v>
      </c>
      <c r="T9" s="46">
        <f t="shared" si="9"/>
        <v>0.25</v>
      </c>
      <c r="U9" s="46">
        <f t="shared" si="10"/>
        <v>2</v>
      </c>
      <c r="V9" s="46">
        <f t="shared" si="11"/>
        <v>0.072</v>
      </c>
      <c r="W9" s="46">
        <f t="shared" si="16"/>
        <v>2</v>
      </c>
      <c r="X9" s="46">
        <f t="shared" si="17"/>
        <v>0.134</v>
      </c>
      <c r="Y9" s="46">
        <v>1.0</v>
      </c>
      <c r="Z9" s="46">
        <f t="shared" si="12"/>
        <v>0.073</v>
      </c>
      <c r="AA9" s="46">
        <f t="shared" si="13"/>
        <v>3.951</v>
      </c>
      <c r="AB9" s="46">
        <f t="shared" si="14"/>
        <v>4</v>
      </c>
    </row>
    <row r="10" ht="14.25" customHeight="1">
      <c r="A10" s="6" t="s">
        <v>52</v>
      </c>
      <c r="B10" s="44">
        <v>1.0</v>
      </c>
      <c r="C10" s="7">
        <v>1.0</v>
      </c>
      <c r="D10" s="58">
        <v>22.08</v>
      </c>
      <c r="E10" s="58" t="s">
        <v>175</v>
      </c>
      <c r="F10" s="58">
        <v>46.14</v>
      </c>
      <c r="G10" s="44">
        <v>435.0</v>
      </c>
      <c r="H10" s="51">
        <v>303.757</v>
      </c>
      <c r="I10" s="52">
        <f t="shared" si="15"/>
        <v>304</v>
      </c>
      <c r="J10" s="46" t="s">
        <v>27</v>
      </c>
      <c r="K10" s="46">
        <f t="shared" si="1"/>
        <v>5</v>
      </c>
      <c r="L10" s="46">
        <f t="shared" si="2"/>
        <v>1.555</v>
      </c>
      <c r="M10" s="46">
        <f t="shared" si="3"/>
        <v>5</v>
      </c>
      <c r="N10" s="46">
        <f t="shared" si="4"/>
        <v>0.56</v>
      </c>
      <c r="O10" s="46">
        <f t="shared" si="5"/>
        <v>5</v>
      </c>
      <c r="P10" s="46">
        <f t="shared" si="6"/>
        <v>0.805</v>
      </c>
      <c r="Q10" s="46">
        <f t="array" ref="Q10">IFS(E10="AA",5,E10="BB",4,E10="CC",3,E10="DD",2, E10="EE",1,E10="DDR",1)</f>
        <v>5</v>
      </c>
      <c r="R10" s="46">
        <f t="shared" si="7"/>
        <v>0.95</v>
      </c>
      <c r="S10" s="46">
        <f t="shared" si="8"/>
        <v>5</v>
      </c>
      <c r="T10" s="46">
        <f t="shared" si="9"/>
        <v>0.25</v>
      </c>
      <c r="U10" s="46">
        <f t="shared" si="10"/>
        <v>1</v>
      </c>
      <c r="V10" s="46">
        <f t="shared" si="11"/>
        <v>0.036</v>
      </c>
      <c r="W10" s="46">
        <f t="shared" si="16"/>
        <v>4</v>
      </c>
      <c r="X10" s="46">
        <f t="shared" si="17"/>
        <v>0.268</v>
      </c>
      <c r="Y10" s="46">
        <f t="array" ref="Y10">IFS(
J10="hutan",5,
J10="hutan, sungai",5,
J10="pekarangan",1,
J10="hutan, jalan desa",3,
J10="hutan, kebun sawit",1,
J10="hutan, jalan",3,
J10="sawah",3,
J10="kebun",3,
J10="sawah, kebun",1,
J10="kebun sawit",1,
J10="Lahan GI",5,
J10="kebun sawit, jalan provinsi",1,
J10="lahan kosong",5,
J10="kebun, lahan kosong",3,
J10="jalan desa, kebun sawit",1,
J10="sungai",5
)</f>
        <v>5</v>
      </c>
      <c r="Z10" s="46">
        <f t="shared" si="12"/>
        <v>0.365</v>
      </c>
      <c r="AA10" s="46">
        <f t="shared" si="13"/>
        <v>4.789</v>
      </c>
      <c r="AB10" s="46">
        <f t="shared" si="14"/>
        <v>5</v>
      </c>
    </row>
    <row r="11" ht="14.25" customHeight="1">
      <c r="A11" s="6" t="s">
        <v>55</v>
      </c>
      <c r="B11" s="44">
        <v>1.0</v>
      </c>
      <c r="C11" s="7">
        <v>1.0</v>
      </c>
      <c r="D11" s="58">
        <v>16.5</v>
      </c>
      <c r="E11" s="58" t="s">
        <v>175</v>
      </c>
      <c r="F11" s="58">
        <v>165.0</v>
      </c>
      <c r="G11" s="44">
        <v>153.0</v>
      </c>
      <c r="H11" s="51">
        <v>291.45</v>
      </c>
      <c r="I11" s="52">
        <f t="shared" si="15"/>
        <v>291</v>
      </c>
      <c r="J11" s="46" t="s">
        <v>217</v>
      </c>
      <c r="K11" s="46">
        <f t="shared" si="1"/>
        <v>5</v>
      </c>
      <c r="L11" s="46">
        <f t="shared" si="2"/>
        <v>1.555</v>
      </c>
      <c r="M11" s="46">
        <f t="shared" si="3"/>
        <v>5</v>
      </c>
      <c r="N11" s="46">
        <f t="shared" si="4"/>
        <v>0.56</v>
      </c>
      <c r="O11" s="46">
        <f t="shared" si="5"/>
        <v>5</v>
      </c>
      <c r="P11" s="46">
        <f t="shared" si="6"/>
        <v>0.805</v>
      </c>
      <c r="Q11" s="46">
        <f t="array" ref="Q11">IFS(E11="AA",5,E11="BB",4,E11="CC",3,E11="DD",2, E11="EE",1,E11="DDR",1)</f>
        <v>5</v>
      </c>
      <c r="R11" s="46">
        <f t="shared" si="7"/>
        <v>0.95</v>
      </c>
      <c r="S11" s="46">
        <f t="shared" si="8"/>
        <v>5</v>
      </c>
      <c r="T11" s="46">
        <f t="shared" si="9"/>
        <v>0.25</v>
      </c>
      <c r="U11" s="46">
        <f t="shared" si="10"/>
        <v>1</v>
      </c>
      <c r="V11" s="46">
        <f t="shared" si="11"/>
        <v>0.036</v>
      </c>
      <c r="W11" s="46">
        <f t="shared" si="16"/>
        <v>5</v>
      </c>
      <c r="X11" s="46">
        <f t="shared" si="17"/>
        <v>0.335</v>
      </c>
      <c r="Y11" s="46">
        <f t="array" ref="Y11">IFS(
J11="hutan",5,
J11="hutan, sungai",5,
J11="pekarangan",1,
J11="hutan, jalan desa",3,
J11="hutan, kebun sawit",1,
J11="hutan, jalan",3,
J11="sawah",3,
J11="kebun",3,
J11="sawah, kebun",1,
J11="kebun sawit",1,
J11="Lahan GI",5,
J11="kebun sawit, jalan provinsi",1,
J11="lahan kosong",5,
J11="kebun, lahan kosong",3,
J11="jalan desa, kebun sawit",1,
J11="sungai",5
)</f>
        <v>5</v>
      </c>
      <c r="Z11" s="46">
        <f t="shared" si="12"/>
        <v>0.365</v>
      </c>
      <c r="AA11" s="46">
        <f t="shared" si="13"/>
        <v>4.856</v>
      </c>
      <c r="AB11" s="46">
        <f t="shared" si="14"/>
        <v>5</v>
      </c>
    </row>
    <row r="12" ht="14.25" customHeight="1">
      <c r="A12" s="6" t="s">
        <v>58</v>
      </c>
      <c r="B12" s="44">
        <v>2.0</v>
      </c>
      <c r="C12" s="7">
        <v>1.0</v>
      </c>
      <c r="D12" s="58">
        <v>19.72</v>
      </c>
      <c r="E12" s="58" t="s">
        <v>132</v>
      </c>
      <c r="F12" s="58">
        <v>90.0</v>
      </c>
      <c r="G12" s="44">
        <v>75.05</v>
      </c>
      <c r="H12" s="51">
        <v>292.746</v>
      </c>
      <c r="I12" s="52">
        <f t="shared" si="15"/>
        <v>293</v>
      </c>
      <c r="J12" s="46" t="s">
        <v>232</v>
      </c>
      <c r="K12" s="46">
        <f t="shared" si="1"/>
        <v>3</v>
      </c>
      <c r="L12" s="46">
        <f t="shared" si="2"/>
        <v>0.933</v>
      </c>
      <c r="M12" s="46">
        <f t="shared" si="3"/>
        <v>5</v>
      </c>
      <c r="N12" s="46">
        <f t="shared" si="4"/>
        <v>0.56</v>
      </c>
      <c r="O12" s="46">
        <f t="shared" si="5"/>
        <v>5</v>
      </c>
      <c r="P12" s="46">
        <f t="shared" si="6"/>
        <v>0.805</v>
      </c>
      <c r="Q12" s="46">
        <f t="array" ref="Q12">IFS(E12="AA",5,E12="BB",4,E12="CC",3,E12="DD",2, E12="EE",1,E12="DDR",1)</f>
        <v>3</v>
      </c>
      <c r="R12" s="46">
        <f t="shared" si="7"/>
        <v>0.57</v>
      </c>
      <c r="S12" s="46">
        <f t="shared" si="8"/>
        <v>5</v>
      </c>
      <c r="T12" s="46">
        <f t="shared" si="9"/>
        <v>0.25</v>
      </c>
      <c r="U12" s="46">
        <f t="shared" si="10"/>
        <v>1</v>
      </c>
      <c r="V12" s="46">
        <f t="shared" si="11"/>
        <v>0.036</v>
      </c>
      <c r="W12" s="46">
        <f t="shared" si="16"/>
        <v>5</v>
      </c>
      <c r="X12" s="46">
        <f t="shared" si="17"/>
        <v>0.335</v>
      </c>
      <c r="Y12" s="46">
        <f t="array" ref="Y12">IFS(
J12="hutan",5,
J12="hutan, sungai",5,
J12="pekarangan",1,
J12="hutan, jalan desa",3,
J12="hutan, kebun sawit",1,
J12="hutan, jalan",3,
J12="sawah",3,
J12="kebun",3,
J12="sawah, kebun",1,
J12="kebun sawit",1,
J12="Lahan GI",5,
J12="kebun sawit, jalan provinsi",1,
J12="lahan kosong",5,
J12="kebun, lahan kosong",3,
J12="jalan desa, kebun sawit",1,
J12="sungai",5
)</f>
        <v>5</v>
      </c>
      <c r="Z12" s="46">
        <f t="shared" si="12"/>
        <v>0.365</v>
      </c>
      <c r="AA12" s="46">
        <f t="shared" si="13"/>
        <v>3.854</v>
      </c>
      <c r="AB12" s="46">
        <f t="shared" si="14"/>
        <v>4</v>
      </c>
    </row>
    <row r="13" ht="14.25" customHeight="1">
      <c r="A13" s="6" t="s">
        <v>61</v>
      </c>
      <c r="B13" s="44">
        <v>2.0</v>
      </c>
      <c r="C13" s="7">
        <v>1.0</v>
      </c>
      <c r="D13" s="58">
        <v>18.73</v>
      </c>
      <c r="E13" s="58" t="s">
        <v>272</v>
      </c>
      <c r="F13" s="58">
        <v>48.99</v>
      </c>
      <c r="G13" s="44">
        <v>35.62</v>
      </c>
      <c r="H13" s="51">
        <v>276.847</v>
      </c>
      <c r="I13" s="52">
        <f t="shared" si="15"/>
        <v>277</v>
      </c>
      <c r="J13" s="46" t="s">
        <v>232</v>
      </c>
      <c r="K13" s="46">
        <f t="shared" si="1"/>
        <v>3</v>
      </c>
      <c r="L13" s="46">
        <f t="shared" si="2"/>
        <v>0.933</v>
      </c>
      <c r="M13" s="46">
        <f t="shared" si="3"/>
        <v>5</v>
      </c>
      <c r="N13" s="46">
        <f t="shared" si="4"/>
        <v>0.56</v>
      </c>
      <c r="O13" s="46">
        <f t="shared" si="5"/>
        <v>5</v>
      </c>
      <c r="P13" s="46">
        <f t="shared" si="6"/>
        <v>0.805</v>
      </c>
      <c r="Q13" s="46">
        <f t="array" ref="Q13">IFS(E13="AA",5,E13="BB",4,E13="CC",3,E13="DD",2, E13="EE",1,E13="DDR",1)</f>
        <v>1</v>
      </c>
      <c r="R13" s="46">
        <f t="shared" si="7"/>
        <v>0.19</v>
      </c>
      <c r="S13" s="46">
        <f t="shared" si="8"/>
        <v>5</v>
      </c>
      <c r="T13" s="46">
        <f t="shared" si="9"/>
        <v>0.25</v>
      </c>
      <c r="U13" s="46">
        <f t="shared" si="10"/>
        <v>1</v>
      </c>
      <c r="V13" s="46">
        <f t="shared" si="11"/>
        <v>0.036</v>
      </c>
      <c r="W13" s="46">
        <f t="shared" si="16"/>
        <v>5</v>
      </c>
      <c r="X13" s="46">
        <f t="shared" si="17"/>
        <v>0.335</v>
      </c>
      <c r="Y13" s="46">
        <f t="array" ref="Y13">IFS(
J13="hutan",5,
J13="hutan, sungai",5,
J13="pekarangan",1,
J13="hutan, jalan desa",3,
J13="hutan, kebun sawit",1,
J13="hutan, jalan",3,
J13="sawah",3,
J13="kebun",3,
J13="sawah, kebun",1,
J13="kebun sawit",1,
J13="Lahan GI",5,
J13="kebun sawit, jalan provinsi",1,
J13="lahan kosong",5,
J13="kebun, lahan kosong",3,
J13="jalan desa, kebun sawit",1,
J13="sungai",5
)</f>
        <v>5</v>
      </c>
      <c r="Z13" s="46">
        <f t="shared" si="12"/>
        <v>0.365</v>
      </c>
      <c r="AA13" s="46">
        <f t="shared" si="13"/>
        <v>3.474</v>
      </c>
      <c r="AB13" s="46">
        <f t="shared" si="14"/>
        <v>3</v>
      </c>
    </row>
    <row r="14" ht="14.25" customHeight="1">
      <c r="A14" s="6" t="s">
        <v>64</v>
      </c>
      <c r="B14" s="44">
        <v>1.0</v>
      </c>
      <c r="C14" s="7">
        <v>3.0</v>
      </c>
      <c r="D14" s="58">
        <v>18.06</v>
      </c>
      <c r="E14" s="58" t="s">
        <v>175</v>
      </c>
      <c r="F14" s="58">
        <v>32.25</v>
      </c>
      <c r="G14" s="44">
        <v>29.55</v>
      </c>
      <c r="H14" s="51">
        <v>390.764</v>
      </c>
      <c r="I14" s="52">
        <f t="shared" si="15"/>
        <v>391</v>
      </c>
      <c r="J14" s="46" t="s">
        <v>123</v>
      </c>
      <c r="K14" s="46">
        <f t="shared" si="1"/>
        <v>5</v>
      </c>
      <c r="L14" s="46">
        <f t="shared" si="2"/>
        <v>1.555</v>
      </c>
      <c r="M14" s="46">
        <f t="shared" si="3"/>
        <v>1</v>
      </c>
      <c r="N14" s="46">
        <f t="shared" si="4"/>
        <v>0.112</v>
      </c>
      <c r="O14" s="46">
        <f t="shared" si="5"/>
        <v>5</v>
      </c>
      <c r="P14" s="46">
        <f t="shared" si="6"/>
        <v>0.805</v>
      </c>
      <c r="Q14" s="46">
        <f t="array" ref="Q14">IFS(E14="AA",5,E14="BB",4,E14="CC",3,E14="DD",2, E14="EE",1,E14="DDR",1)</f>
        <v>5</v>
      </c>
      <c r="R14" s="46">
        <f t="shared" si="7"/>
        <v>0.95</v>
      </c>
      <c r="S14" s="46">
        <f t="shared" si="8"/>
        <v>5</v>
      </c>
      <c r="T14" s="46">
        <f t="shared" si="9"/>
        <v>0.25</v>
      </c>
      <c r="U14" s="46">
        <f t="shared" si="10"/>
        <v>1</v>
      </c>
      <c r="V14" s="46">
        <f t="shared" si="11"/>
        <v>0.036</v>
      </c>
      <c r="W14" s="46">
        <f t="shared" si="16"/>
        <v>2</v>
      </c>
      <c r="X14" s="46">
        <f t="shared" si="17"/>
        <v>0.134</v>
      </c>
      <c r="Y14" s="46">
        <f t="array" ref="Y14">IFS(
J14="hutan",5,
J14="hutan, sungai",5,
J14="pekarangan",1,
J14="hutan, jalan desa",3,
J14="hutan, kebun sawit",1,
J14="hutan, jalan",3,
J14="sawah",3,
J14="kebun",3,
J14="sawah, kebun",1,
J14="kebun sawit",1,
J14="Lahan GI",5,
J14="kebun sawit, jalan provinsi",1,
J14="lahan kosong",5,
J14="kebun, lahan kosong",3,
J14="jalan desa, kebun sawit",1,
J14="sungai",5
)</f>
        <v>1</v>
      </c>
      <c r="Z14" s="46">
        <f t="shared" si="12"/>
        <v>0.073</v>
      </c>
      <c r="AA14" s="46">
        <f t="shared" si="13"/>
        <v>3.915</v>
      </c>
      <c r="AB14" s="46">
        <f t="shared" si="14"/>
        <v>4</v>
      </c>
    </row>
    <row r="15" ht="14.25" customHeight="1">
      <c r="A15" s="6" t="s">
        <v>67</v>
      </c>
      <c r="B15" s="44">
        <v>2.0</v>
      </c>
      <c r="C15" s="7">
        <v>3.0</v>
      </c>
      <c r="D15" s="58">
        <v>16.77</v>
      </c>
      <c r="E15" s="58" t="s">
        <v>132</v>
      </c>
      <c r="F15" s="58">
        <v>10.23</v>
      </c>
      <c r="G15" s="44">
        <v>108.0</v>
      </c>
      <c r="H15" s="51">
        <v>408.53</v>
      </c>
      <c r="I15" s="52">
        <f t="shared" si="15"/>
        <v>409</v>
      </c>
      <c r="J15" s="46" t="s">
        <v>123</v>
      </c>
      <c r="K15" s="46">
        <f t="shared" si="1"/>
        <v>3</v>
      </c>
      <c r="L15" s="46">
        <f t="shared" si="2"/>
        <v>0.933</v>
      </c>
      <c r="M15" s="46">
        <f t="shared" si="3"/>
        <v>1</v>
      </c>
      <c r="N15" s="46">
        <f t="shared" si="4"/>
        <v>0.112</v>
      </c>
      <c r="O15" s="46">
        <f t="shared" si="5"/>
        <v>5</v>
      </c>
      <c r="P15" s="46">
        <f t="shared" si="6"/>
        <v>0.805</v>
      </c>
      <c r="Q15" s="46">
        <f t="array" ref="Q15">IFS(E15="AA",5,E15="BB",4,E15="CC",3,E15="DD",2, E15="EE",1,E15="DDR",1)</f>
        <v>3</v>
      </c>
      <c r="R15" s="46">
        <f t="shared" si="7"/>
        <v>0.57</v>
      </c>
      <c r="S15" s="46">
        <f t="shared" si="8"/>
        <v>5</v>
      </c>
      <c r="T15" s="46">
        <f t="shared" si="9"/>
        <v>0.25</v>
      </c>
      <c r="U15" s="46">
        <f t="shared" si="10"/>
        <v>1</v>
      </c>
      <c r="V15" s="46">
        <f t="shared" si="11"/>
        <v>0.036</v>
      </c>
      <c r="W15" s="46">
        <f t="shared" si="16"/>
        <v>2</v>
      </c>
      <c r="X15" s="46">
        <f t="shared" si="17"/>
        <v>0.134</v>
      </c>
      <c r="Y15" s="46">
        <f t="array" ref="Y15">IFS(
J15="hutan",5,
J15="hutan, sungai",5,
J15="pekarangan",1,
J15="hutan, jalan desa",3,
J15="hutan, kebun sawit",1,
J15="hutan, jalan",3,
J15="sawah",3,
J15="kebun",3,
J15="sawah, kebun",1,
J15="kebun sawit",1,
J15="Lahan GI",5,
J15="kebun sawit, jalan provinsi",1,
J15="lahan kosong",5,
J15="kebun, lahan kosong",3,
J15="jalan desa, kebun sawit",1,
J15="sungai",5
)</f>
        <v>1</v>
      </c>
      <c r="Z15" s="46">
        <f t="shared" si="12"/>
        <v>0.073</v>
      </c>
      <c r="AA15" s="46">
        <f t="shared" si="13"/>
        <v>2.913</v>
      </c>
      <c r="AB15" s="46">
        <f t="shared" si="14"/>
        <v>3</v>
      </c>
    </row>
    <row r="16" ht="14.25" customHeight="1">
      <c r="A16" s="6" t="s">
        <v>70</v>
      </c>
      <c r="B16" s="44">
        <v>1.0</v>
      </c>
      <c r="C16" s="7">
        <v>3.0</v>
      </c>
      <c r="D16" s="58">
        <v>24.83</v>
      </c>
      <c r="E16" s="58" t="s">
        <v>109</v>
      </c>
      <c r="F16" s="58">
        <v>17.35</v>
      </c>
      <c r="G16" s="44">
        <v>112.0</v>
      </c>
      <c r="H16" s="51">
        <v>315.062</v>
      </c>
      <c r="I16" s="52">
        <f t="shared" si="15"/>
        <v>315</v>
      </c>
      <c r="J16" s="46" t="s">
        <v>123</v>
      </c>
      <c r="K16" s="46">
        <f t="shared" si="1"/>
        <v>5</v>
      </c>
      <c r="L16" s="46">
        <f t="shared" si="2"/>
        <v>1.555</v>
      </c>
      <c r="M16" s="46">
        <f t="shared" si="3"/>
        <v>1</v>
      </c>
      <c r="N16" s="46">
        <f t="shared" si="4"/>
        <v>0.112</v>
      </c>
      <c r="O16" s="46">
        <f t="shared" si="5"/>
        <v>5</v>
      </c>
      <c r="P16" s="46">
        <f t="shared" si="6"/>
        <v>0.805</v>
      </c>
      <c r="Q16" s="46">
        <f t="array" ref="Q16">IFS(E16="AA",5,E16="BB",4,E16="CC",3,E16="DD",2, E16="EE",1,E16="DDR",1)</f>
        <v>4</v>
      </c>
      <c r="R16" s="46">
        <f t="shared" si="7"/>
        <v>0.76</v>
      </c>
      <c r="S16" s="46">
        <f t="shared" si="8"/>
        <v>5</v>
      </c>
      <c r="T16" s="46">
        <f t="shared" si="9"/>
        <v>0.25</v>
      </c>
      <c r="U16" s="46">
        <f t="shared" si="10"/>
        <v>1</v>
      </c>
      <c r="V16" s="46">
        <f t="shared" si="11"/>
        <v>0.036</v>
      </c>
      <c r="W16" s="46">
        <f t="shared" si="16"/>
        <v>4</v>
      </c>
      <c r="X16" s="46">
        <f t="shared" si="17"/>
        <v>0.268</v>
      </c>
      <c r="Y16" s="46">
        <f t="array" ref="Y16">IFS(
J16="hutan",5,
J16="hutan, sungai",5,
J16="pekarangan",1,
J16="hutan, jalan desa",3,
J16="hutan, kebun sawit",1,
J16="hutan, jalan",3,
J16="sawah",3,
J16="kebun",3,
J16="sawah, kebun",1,
J16="kebun sawit",1,
J16="Lahan GI",5,
J16="kebun sawit, jalan provinsi",1,
J16="lahan kosong",5,
J16="kebun, lahan kosong",3,
J16="jalan desa, kebun sawit",1,
J16="sungai",5
)</f>
        <v>1</v>
      </c>
      <c r="Z16" s="46">
        <f t="shared" si="12"/>
        <v>0.073</v>
      </c>
      <c r="AA16" s="46">
        <f t="shared" si="13"/>
        <v>3.859</v>
      </c>
      <c r="AB16" s="46">
        <f t="shared" si="14"/>
        <v>4</v>
      </c>
    </row>
    <row r="17" ht="14.25" customHeight="1">
      <c r="A17" s="6" t="s">
        <v>73</v>
      </c>
      <c r="B17" s="44">
        <v>2.0</v>
      </c>
      <c r="C17" s="7">
        <v>1.0</v>
      </c>
      <c r="D17" s="58">
        <v>60.08</v>
      </c>
      <c r="E17" s="58" t="s">
        <v>109</v>
      </c>
      <c r="F17" s="58">
        <v>140.78</v>
      </c>
      <c r="G17" s="44">
        <v>310.0</v>
      </c>
      <c r="H17" s="51">
        <v>194.55</v>
      </c>
      <c r="I17" s="52">
        <f t="shared" si="15"/>
        <v>195</v>
      </c>
      <c r="J17" s="46" t="s">
        <v>332</v>
      </c>
      <c r="K17" s="46">
        <f t="shared" si="1"/>
        <v>3</v>
      </c>
      <c r="L17" s="46">
        <f t="shared" si="2"/>
        <v>0.933</v>
      </c>
      <c r="M17" s="46">
        <f t="shared" si="3"/>
        <v>5</v>
      </c>
      <c r="N17" s="46">
        <f t="shared" si="4"/>
        <v>0.56</v>
      </c>
      <c r="O17" s="46">
        <f t="shared" si="5"/>
        <v>4</v>
      </c>
      <c r="P17" s="46">
        <f t="shared" si="6"/>
        <v>0.644</v>
      </c>
      <c r="Q17" s="46">
        <f t="array" ref="Q17">IFS(E17="AA",5,E17="BB",4,E17="CC",3,E17="DD",2, E17="EE",1,E17="DDR",1)</f>
        <v>4</v>
      </c>
      <c r="R17" s="46">
        <f t="shared" si="7"/>
        <v>0.76</v>
      </c>
      <c r="S17" s="46">
        <f t="shared" si="8"/>
        <v>5</v>
      </c>
      <c r="T17" s="46">
        <f t="shared" si="9"/>
        <v>0.25</v>
      </c>
      <c r="U17" s="46">
        <f t="shared" si="10"/>
        <v>1</v>
      </c>
      <c r="V17" s="46">
        <f t="shared" si="11"/>
        <v>0.036</v>
      </c>
      <c r="W17" s="46">
        <v>2.0</v>
      </c>
      <c r="X17" s="46">
        <f t="shared" si="17"/>
        <v>0.134</v>
      </c>
      <c r="Y17" s="46">
        <f t="array" ref="Y17">IFS(
J17="hutan",5,
J17="hutan, sungai",5,
J17="pekarangan",1,
J17="hutan, jalan desa",3,
J17="hutan, kebun sawit",1,
J17="hutan, jalan",3,
J17="sawah",3,
J17="kebun",3,
J17="sawah, kebun",1,
J17="kebun sawit",1,
J17="Lahan GI",5,
J17="kebun sawit, jalan provinsi",1,
J17="lahan kosong",5,
J17="kebun, lahan kosong",3,
J17="jalan desa, kebun sawit",1,
J17="sungai",5
)</f>
        <v>5</v>
      </c>
      <c r="Z17" s="46">
        <f t="shared" si="12"/>
        <v>0.365</v>
      </c>
      <c r="AA17" s="46">
        <f t="shared" si="13"/>
        <v>3.682</v>
      </c>
      <c r="AB17" s="46">
        <f t="shared" si="14"/>
        <v>4</v>
      </c>
    </row>
    <row r="18" ht="14.25" customHeight="1">
      <c r="A18" s="6" t="s">
        <v>76</v>
      </c>
      <c r="B18" s="44">
        <v>2.0</v>
      </c>
      <c r="C18" s="7">
        <v>1.0</v>
      </c>
      <c r="D18" s="58">
        <v>131.9</v>
      </c>
      <c r="E18" s="58" t="s">
        <v>109</v>
      </c>
      <c r="F18" s="58">
        <v>284.32</v>
      </c>
      <c r="G18" s="44">
        <v>635.44</v>
      </c>
      <c r="H18" s="51">
        <v>336.161</v>
      </c>
      <c r="I18" s="52">
        <f t="shared" si="15"/>
        <v>336</v>
      </c>
      <c r="J18" s="46" t="s">
        <v>332</v>
      </c>
      <c r="K18" s="46">
        <f t="shared" si="1"/>
        <v>3</v>
      </c>
      <c r="L18" s="46">
        <f t="shared" si="2"/>
        <v>0.933</v>
      </c>
      <c r="M18" s="46">
        <f t="shared" si="3"/>
        <v>5</v>
      </c>
      <c r="N18" s="46">
        <f t="shared" si="4"/>
        <v>0.56</v>
      </c>
      <c r="O18" s="46">
        <f t="shared" si="5"/>
        <v>3</v>
      </c>
      <c r="P18" s="46">
        <f t="shared" si="6"/>
        <v>0.483</v>
      </c>
      <c r="Q18" s="46">
        <f t="array" ref="Q18">IFS(E18="AA",5,E18="BB",4,E18="CC",3,E18="DD",2, E18="EE",1,E18="DDR",1)</f>
        <v>4</v>
      </c>
      <c r="R18" s="46">
        <f t="shared" si="7"/>
        <v>0.76</v>
      </c>
      <c r="S18" s="46">
        <f t="shared" si="8"/>
        <v>4</v>
      </c>
      <c r="T18" s="46">
        <f t="shared" si="9"/>
        <v>0.2</v>
      </c>
      <c r="U18" s="46">
        <f t="shared" si="10"/>
        <v>2</v>
      </c>
      <c r="V18" s="46">
        <f t="shared" si="11"/>
        <v>0.072</v>
      </c>
      <c r="W18" s="46">
        <f t="shared" ref="W18:W27" si="18">MAX(1,MIN(5,
ROUND(5-(ABS(H18-275)/(275-100)*4),0)
))</f>
        <v>4</v>
      </c>
      <c r="X18" s="46">
        <f t="shared" si="17"/>
        <v>0.268</v>
      </c>
      <c r="Y18" s="46">
        <f t="array" ref="Y18">IFS(
J18="hutan",5,
J18="hutan, sungai",5,
J18="pekarangan",1,
J18="hutan, jalan desa",3,
J18="hutan, kebun sawit",1,
J18="hutan, jalan",3,
J18="sawah",3,
J18="kebun",3,
J18="sawah, kebun",1,
J18="kebun sawit",1,
J18="Lahan GI",5,
J18="kebun sawit, jalan provinsi",1,
J18="lahan kosong",5,
J18="kebun, lahan kosong",3,
J18="jalan desa, kebun sawit",1,
J18="sungai",5
)</f>
        <v>5</v>
      </c>
      <c r="Z18" s="46">
        <f t="shared" si="12"/>
        <v>0.365</v>
      </c>
      <c r="AA18" s="46">
        <f t="shared" si="13"/>
        <v>3.641</v>
      </c>
      <c r="AB18" s="46">
        <f t="shared" si="14"/>
        <v>3</v>
      </c>
    </row>
    <row r="19" ht="14.25" customHeight="1">
      <c r="A19" s="6" t="s">
        <v>79</v>
      </c>
      <c r="B19" s="44">
        <v>3.0</v>
      </c>
      <c r="C19" s="7">
        <v>1.0</v>
      </c>
      <c r="D19" s="58">
        <v>150.26</v>
      </c>
      <c r="E19" s="58" t="s">
        <v>132</v>
      </c>
      <c r="F19" s="58">
        <v>400.31</v>
      </c>
      <c r="G19" s="44">
        <v>883.78</v>
      </c>
      <c r="H19" s="51">
        <v>255.059</v>
      </c>
      <c r="I19" s="52">
        <f t="shared" si="15"/>
        <v>255</v>
      </c>
      <c r="J19" s="46" t="s">
        <v>332</v>
      </c>
      <c r="K19" s="46">
        <f t="shared" si="1"/>
        <v>1</v>
      </c>
      <c r="L19" s="46">
        <f t="shared" si="2"/>
        <v>0.311</v>
      </c>
      <c r="M19" s="46">
        <f t="shared" si="3"/>
        <v>5</v>
      </c>
      <c r="N19" s="46">
        <f t="shared" si="4"/>
        <v>0.56</v>
      </c>
      <c r="O19" s="46">
        <f t="shared" si="5"/>
        <v>3</v>
      </c>
      <c r="P19" s="46">
        <f t="shared" si="6"/>
        <v>0.483</v>
      </c>
      <c r="Q19" s="46">
        <f t="array" ref="Q19">IFS(E19="AA",5,E19="BB",4,E19="CC",3,E19="DD",2, E19="EE",1,E19="DDR",1)</f>
        <v>3</v>
      </c>
      <c r="R19" s="46">
        <f t="shared" si="7"/>
        <v>0.57</v>
      </c>
      <c r="S19" s="46">
        <f t="shared" si="8"/>
        <v>4</v>
      </c>
      <c r="T19" s="46">
        <f t="shared" si="9"/>
        <v>0.2</v>
      </c>
      <c r="U19" s="46">
        <f t="shared" si="10"/>
        <v>2</v>
      </c>
      <c r="V19" s="46">
        <f t="shared" si="11"/>
        <v>0.072</v>
      </c>
      <c r="W19" s="46">
        <f t="shared" si="18"/>
        <v>5</v>
      </c>
      <c r="X19" s="46">
        <f t="shared" si="17"/>
        <v>0.335</v>
      </c>
      <c r="Y19" s="46">
        <f t="array" ref="Y19">IFS(
J19="hutan",5,
J19="hutan, sungai",5,
J19="pekarangan",1,
J19="hutan, jalan desa",3,
J19="hutan, kebun sawit",1,
J19="hutan, jalan",3,
J19="sawah",3,
J19="kebun",3,
J19="sawah, kebun",1,
J19="kebun sawit",1,
J19="Lahan GI",5,
J19="kebun sawit, jalan provinsi",1,
J19="lahan kosong",5,
J19="kebun, lahan kosong",3,
J19="jalan desa, kebun sawit",1,
J19="sungai",5
)</f>
        <v>5</v>
      </c>
      <c r="Z19" s="46">
        <f t="shared" si="12"/>
        <v>0.365</v>
      </c>
      <c r="AA19" s="46">
        <f t="shared" si="13"/>
        <v>2.896</v>
      </c>
      <c r="AB19" s="46">
        <f t="shared" si="14"/>
        <v>3</v>
      </c>
    </row>
    <row r="20" ht="14.25" customHeight="1">
      <c r="A20" s="6" t="s">
        <v>82</v>
      </c>
      <c r="B20" s="44">
        <v>3.0</v>
      </c>
      <c r="C20" s="7">
        <v>1.0</v>
      </c>
      <c r="D20" s="58">
        <v>179.82</v>
      </c>
      <c r="E20" s="58" t="s">
        <v>132</v>
      </c>
      <c r="F20" s="58">
        <v>1095.0</v>
      </c>
      <c r="G20" s="44">
        <v>1511.0</v>
      </c>
      <c r="H20" s="51">
        <v>452.328</v>
      </c>
      <c r="I20" s="52">
        <f t="shared" si="15"/>
        <v>452</v>
      </c>
      <c r="J20" s="46" t="s">
        <v>332</v>
      </c>
      <c r="K20" s="46">
        <f t="shared" si="1"/>
        <v>1</v>
      </c>
      <c r="L20" s="46">
        <f t="shared" si="2"/>
        <v>0.311</v>
      </c>
      <c r="M20" s="46">
        <f t="shared" si="3"/>
        <v>5</v>
      </c>
      <c r="N20" s="60">
        <f t="shared" si="4"/>
        <v>0.56</v>
      </c>
      <c r="O20" s="46">
        <f t="shared" si="5"/>
        <v>2</v>
      </c>
      <c r="P20" s="46">
        <f t="shared" si="6"/>
        <v>0.322</v>
      </c>
      <c r="Q20" s="46">
        <f t="array" ref="Q20">IFS(E20="AA",5,E20="BB",4,E20="CC",3,E20="DD",2, E20="EE",1,E20="DDR",1)</f>
        <v>3</v>
      </c>
      <c r="R20" s="46">
        <f t="shared" si="7"/>
        <v>0.57</v>
      </c>
      <c r="S20" s="46">
        <f t="shared" si="8"/>
        <v>2</v>
      </c>
      <c r="T20" s="60">
        <f t="shared" si="9"/>
        <v>0.1</v>
      </c>
      <c r="U20" s="46">
        <f t="shared" si="10"/>
        <v>3</v>
      </c>
      <c r="V20" s="46">
        <f t="shared" si="11"/>
        <v>0.108</v>
      </c>
      <c r="W20" s="46">
        <f t="shared" si="18"/>
        <v>1</v>
      </c>
      <c r="X20" s="46">
        <f t="shared" si="17"/>
        <v>0.067</v>
      </c>
      <c r="Y20" s="46">
        <f t="array" ref="Y20">IFS(
J20="hutan",5,
J20="hutan, sungai",5,
J20="pekarangan",1,
J20="hutan, jalan desa",3,
J20="hutan, kebun sawit",1,
J20="hutan, jalan",3,
J20="sawah",3,
J20="kebun",3,
J20="sawah, kebun",1,
J20="kebun sawit",1,
J20="Lahan GI",5,
J20="kebun sawit, jalan provinsi",1,
J20="lahan kosong",5,
J20="kebun, lahan kosong",3,
J20="jalan desa, kebun sawit",1,
J20="sungai",5
)</f>
        <v>5</v>
      </c>
      <c r="Z20" s="46">
        <f t="shared" si="12"/>
        <v>0.365</v>
      </c>
      <c r="AA20" s="60">
        <f t="shared" si="13"/>
        <v>2.403</v>
      </c>
      <c r="AB20" s="46">
        <f t="shared" si="14"/>
        <v>2</v>
      </c>
    </row>
    <row r="21" ht="14.25" customHeight="1">
      <c r="A21" s="6" t="s">
        <v>86</v>
      </c>
      <c r="B21" s="44">
        <v>3.0</v>
      </c>
      <c r="C21" s="7">
        <v>1.0</v>
      </c>
      <c r="D21" s="58">
        <v>175.16</v>
      </c>
      <c r="E21" s="58" t="s">
        <v>109</v>
      </c>
      <c r="F21" s="58">
        <v>1055.0</v>
      </c>
      <c r="G21" s="44">
        <v>1524.0</v>
      </c>
      <c r="H21" s="51">
        <v>233.568</v>
      </c>
      <c r="I21" s="52">
        <f t="shared" si="15"/>
        <v>234</v>
      </c>
      <c r="J21" s="46" t="s">
        <v>332</v>
      </c>
      <c r="K21" s="46">
        <f t="shared" si="1"/>
        <v>1</v>
      </c>
      <c r="L21" s="46">
        <f t="shared" si="2"/>
        <v>0.311</v>
      </c>
      <c r="M21" s="46">
        <f t="shared" si="3"/>
        <v>5</v>
      </c>
      <c r="N21" s="46">
        <f t="shared" si="4"/>
        <v>0.56</v>
      </c>
      <c r="O21" s="46">
        <f t="shared" si="5"/>
        <v>2</v>
      </c>
      <c r="P21" s="46">
        <f t="shared" si="6"/>
        <v>0.322</v>
      </c>
      <c r="Q21" s="46">
        <f t="array" ref="Q21">IFS(E21="AA",5,E21="BB",4,E21="CC",3,E21="DD",2, E21="EE",1,E21="DDR",1)</f>
        <v>4</v>
      </c>
      <c r="R21" s="46">
        <f t="shared" si="7"/>
        <v>0.76</v>
      </c>
      <c r="S21" s="46">
        <f t="shared" si="8"/>
        <v>2</v>
      </c>
      <c r="T21" s="46">
        <f t="shared" si="9"/>
        <v>0.1</v>
      </c>
      <c r="U21" s="46">
        <f t="shared" si="10"/>
        <v>3</v>
      </c>
      <c r="V21" s="46">
        <f t="shared" si="11"/>
        <v>0.108</v>
      </c>
      <c r="W21" s="46">
        <f t="shared" si="18"/>
        <v>4</v>
      </c>
      <c r="X21" s="46">
        <f t="shared" si="17"/>
        <v>0.268</v>
      </c>
      <c r="Y21" s="46">
        <f t="array" ref="Y21">IFS(
J21="hutan",5,
J21="hutan, sungai",5,
J21="pekarangan",1,
J21="hutan, jalan desa",3,
J21="hutan, kebun sawit",1,
J21="hutan, jalan",3,
J21="sawah",3,
J21="kebun",3,
J21="sawah, kebun",1,
J21="kebun sawit",1,
J21="Lahan GI",5,
J21="kebun sawit, jalan provinsi",1,
J21="lahan kosong",5,
J21="kebun, lahan kosong",3,
J21="jalan desa, kebun sawit",1,
J21="sungai",5
)</f>
        <v>5</v>
      </c>
      <c r="Z21" s="46">
        <f t="shared" si="12"/>
        <v>0.365</v>
      </c>
      <c r="AA21" s="46">
        <f t="shared" si="13"/>
        <v>2.794</v>
      </c>
      <c r="AB21" s="46">
        <f t="shared" si="14"/>
        <v>2</v>
      </c>
    </row>
    <row r="22" ht="14.25" customHeight="1">
      <c r="A22" s="6" t="s">
        <v>89</v>
      </c>
      <c r="B22" s="44">
        <v>3.0</v>
      </c>
      <c r="C22" s="7">
        <v>1.0</v>
      </c>
      <c r="D22" s="58">
        <v>113.14</v>
      </c>
      <c r="E22" s="58" t="s">
        <v>109</v>
      </c>
      <c r="F22" s="58">
        <v>1350.0</v>
      </c>
      <c r="G22" s="44">
        <v>1842.0</v>
      </c>
      <c r="H22" s="51">
        <v>378.193</v>
      </c>
      <c r="I22" s="52">
        <f t="shared" si="15"/>
        <v>378</v>
      </c>
      <c r="J22" s="46" t="s">
        <v>332</v>
      </c>
      <c r="K22" s="46">
        <f t="shared" si="1"/>
        <v>1</v>
      </c>
      <c r="L22" s="46">
        <f t="shared" si="2"/>
        <v>0.311</v>
      </c>
      <c r="M22" s="46">
        <f t="shared" si="3"/>
        <v>5</v>
      </c>
      <c r="N22" s="46">
        <f t="shared" si="4"/>
        <v>0.56</v>
      </c>
      <c r="O22" s="46">
        <f t="shared" si="5"/>
        <v>3</v>
      </c>
      <c r="P22" s="46">
        <f t="shared" si="6"/>
        <v>0.483</v>
      </c>
      <c r="Q22" s="46">
        <f t="array" ref="Q22">IFS(E22="AA",5,E22="BB",4,E22="CC",3,E22="DD",2, E22="EE",1,E22="DDR",1)</f>
        <v>4</v>
      </c>
      <c r="R22" s="46">
        <f t="shared" si="7"/>
        <v>0.76</v>
      </c>
      <c r="S22" s="46">
        <f t="shared" si="8"/>
        <v>1</v>
      </c>
      <c r="T22" s="46">
        <f t="shared" si="9"/>
        <v>0.05</v>
      </c>
      <c r="U22" s="46">
        <f t="shared" si="10"/>
        <v>3</v>
      </c>
      <c r="V22" s="46">
        <f t="shared" si="11"/>
        <v>0.108</v>
      </c>
      <c r="W22" s="46">
        <f t="shared" si="18"/>
        <v>3</v>
      </c>
      <c r="X22" s="46">
        <f t="shared" si="17"/>
        <v>0.201</v>
      </c>
      <c r="Y22" s="46">
        <f t="array" ref="Y22">IFS(
J22="hutan",5,
J22="hutan, sungai",5,
J22="pekarangan",1,
J22="hutan, jalan desa",3,
J22="hutan, kebun sawit",1,
J22="hutan, jalan",3,
J22="sawah",3,
J22="kebun",3,
J22="sawah, kebun",1,
J22="kebun sawit",1,
J22="Lahan GI",5,
J22="kebun sawit, jalan provinsi",1,
J22="lahan kosong",5,
J22="kebun, lahan kosong",3,
J22="jalan desa, kebun sawit",1,
J22="sungai",5
)</f>
        <v>5</v>
      </c>
      <c r="Z22" s="46">
        <f t="shared" si="12"/>
        <v>0.365</v>
      </c>
      <c r="AA22" s="46">
        <f t="shared" si="13"/>
        <v>2.838</v>
      </c>
      <c r="AB22" s="46">
        <f t="shared" si="14"/>
        <v>2</v>
      </c>
    </row>
    <row r="23" ht="14.25" customHeight="1">
      <c r="A23" s="6" t="s">
        <v>92</v>
      </c>
      <c r="B23" s="44">
        <v>3.0</v>
      </c>
      <c r="C23" s="7">
        <v>1.0</v>
      </c>
      <c r="D23" s="58">
        <v>76.49</v>
      </c>
      <c r="E23" s="58" t="s">
        <v>109</v>
      </c>
      <c r="F23" s="58">
        <v>1220.0</v>
      </c>
      <c r="G23" s="44">
        <v>2117.0</v>
      </c>
      <c r="H23" s="51">
        <v>300.0</v>
      </c>
      <c r="I23" s="52">
        <f t="shared" si="15"/>
        <v>300</v>
      </c>
      <c r="J23" s="46" t="s">
        <v>332</v>
      </c>
      <c r="K23" s="46">
        <f t="shared" si="1"/>
        <v>1</v>
      </c>
      <c r="L23" s="46">
        <f t="shared" si="2"/>
        <v>0.311</v>
      </c>
      <c r="M23" s="46">
        <f t="shared" si="3"/>
        <v>5</v>
      </c>
      <c r="N23" s="46">
        <f t="shared" si="4"/>
        <v>0.56</v>
      </c>
      <c r="O23" s="46">
        <f t="shared" si="5"/>
        <v>4</v>
      </c>
      <c r="P23" s="46">
        <f t="shared" si="6"/>
        <v>0.644</v>
      </c>
      <c r="Q23" s="46">
        <f t="array" ref="Q23">IFS(E23="AA",5,E23="BB",4,E23="CC",3,E23="DD",2, E23="EE",1,E23="DDR",1)</f>
        <v>4</v>
      </c>
      <c r="R23" s="46">
        <f t="shared" si="7"/>
        <v>0.76</v>
      </c>
      <c r="S23" s="46">
        <f t="shared" si="8"/>
        <v>1</v>
      </c>
      <c r="T23" s="46">
        <f t="shared" si="9"/>
        <v>0.05</v>
      </c>
      <c r="U23" s="46">
        <f t="shared" si="10"/>
        <v>3</v>
      </c>
      <c r="V23" s="46">
        <f t="shared" si="11"/>
        <v>0.108</v>
      </c>
      <c r="W23" s="46">
        <f t="shared" si="18"/>
        <v>4</v>
      </c>
      <c r="X23" s="46">
        <f t="shared" si="17"/>
        <v>0.268</v>
      </c>
      <c r="Y23" s="46">
        <f t="array" ref="Y23">IFS(
J23="hutan",5,
J23="hutan, sungai",5,
J23="pekarangan",1,
J23="hutan, jalan desa",3,
J23="hutan, kebun sawit",1,
J23="hutan, jalan",3,
J23="sawah",3,
J23="kebun",3,
J23="sawah, kebun",1,
J23="kebun sawit",1,
J23="Lahan GI",5,
J23="kebun sawit, jalan provinsi",1,
J23="lahan kosong",5,
J23="kebun, lahan kosong",3,
J23="jalan desa, kebun sawit",1,
J23="sungai",5
)</f>
        <v>5</v>
      </c>
      <c r="Z23" s="46">
        <f t="shared" si="12"/>
        <v>0.365</v>
      </c>
      <c r="AA23" s="46">
        <f t="shared" si="13"/>
        <v>3.066</v>
      </c>
      <c r="AB23" s="46">
        <f t="shared" si="14"/>
        <v>3</v>
      </c>
    </row>
    <row r="24" ht="14.25" customHeight="1">
      <c r="A24" s="6" t="s">
        <v>95</v>
      </c>
      <c r="B24" s="44">
        <v>1.0</v>
      </c>
      <c r="C24" s="7">
        <v>1.0</v>
      </c>
      <c r="D24" s="58">
        <v>57.53</v>
      </c>
      <c r="E24" s="58" t="s">
        <v>175</v>
      </c>
      <c r="F24" s="58">
        <v>925.0</v>
      </c>
      <c r="G24" s="44">
        <v>2430.0</v>
      </c>
      <c r="H24" s="51">
        <v>313.251</v>
      </c>
      <c r="I24" s="52">
        <f t="shared" si="15"/>
        <v>313</v>
      </c>
      <c r="J24" s="46" t="s">
        <v>332</v>
      </c>
      <c r="K24" s="46">
        <f t="shared" si="1"/>
        <v>5</v>
      </c>
      <c r="L24" s="46">
        <f t="shared" si="2"/>
        <v>1.555</v>
      </c>
      <c r="M24" s="46">
        <f t="shared" si="3"/>
        <v>5</v>
      </c>
      <c r="N24" s="46">
        <f t="shared" si="4"/>
        <v>0.56</v>
      </c>
      <c r="O24" s="46">
        <f t="shared" si="5"/>
        <v>4</v>
      </c>
      <c r="P24" s="46">
        <f t="shared" si="6"/>
        <v>0.644</v>
      </c>
      <c r="Q24" s="46">
        <f t="array" ref="Q24">IFS(E24="AA",5,E24="BB",4,E24="CC",3,E24="DD",2, E24="EE",1,E24="DDR",1)</f>
        <v>5</v>
      </c>
      <c r="R24" s="46">
        <f t="shared" si="7"/>
        <v>0.95</v>
      </c>
      <c r="S24" s="46">
        <f t="shared" si="8"/>
        <v>2</v>
      </c>
      <c r="T24" s="46">
        <f t="shared" si="9"/>
        <v>0.1</v>
      </c>
      <c r="U24" s="46">
        <f t="shared" si="10"/>
        <v>4</v>
      </c>
      <c r="V24" s="46">
        <f t="shared" si="11"/>
        <v>0.144</v>
      </c>
      <c r="W24" s="46">
        <f t="shared" si="18"/>
        <v>4</v>
      </c>
      <c r="X24" s="46">
        <f t="shared" si="17"/>
        <v>0.268</v>
      </c>
      <c r="Y24" s="46">
        <f t="array" ref="Y24">IFS(
J24="hutan",5,
J24="hutan, sungai",5,
J24="pekarangan",1,
J24="hutan, jalan desa",3,
J24="hutan, kebun sawit",1,
J24="hutan, jalan",3,
J24="sawah",3,
J24="kebun",3,
J24="sawah, kebun",1,
J24="kebun sawit",1,
J24="Lahan GI",5,
J24="kebun sawit, jalan provinsi",1,
J24="lahan kosong",5,
J24="kebun, lahan kosong",3,
J24="jalan desa, kebun sawit",1,
J24="sungai",5
)</f>
        <v>5</v>
      </c>
      <c r="Z24" s="46">
        <f t="shared" si="12"/>
        <v>0.365</v>
      </c>
      <c r="AA24" s="46">
        <f t="shared" si="13"/>
        <v>4.586</v>
      </c>
      <c r="AB24" s="46">
        <f t="shared" si="14"/>
        <v>5</v>
      </c>
    </row>
    <row r="25" ht="14.25" customHeight="1">
      <c r="A25" s="6" t="s">
        <v>98</v>
      </c>
      <c r="B25" s="44">
        <v>3.0</v>
      </c>
      <c r="C25" s="7">
        <v>1.0</v>
      </c>
      <c r="D25" s="58">
        <v>70.66</v>
      </c>
      <c r="E25" s="58" t="s">
        <v>132</v>
      </c>
      <c r="F25" s="58">
        <v>675.0</v>
      </c>
      <c r="G25" s="44">
        <v>2695.0</v>
      </c>
      <c r="H25" s="51">
        <v>291.7</v>
      </c>
      <c r="I25" s="52">
        <f t="shared" si="15"/>
        <v>292</v>
      </c>
      <c r="J25" s="46" t="s">
        <v>332</v>
      </c>
      <c r="K25" s="46">
        <f t="shared" si="1"/>
        <v>1</v>
      </c>
      <c r="L25" s="46">
        <f t="shared" si="2"/>
        <v>0.311</v>
      </c>
      <c r="M25" s="46">
        <f t="shared" si="3"/>
        <v>5</v>
      </c>
      <c r="N25" s="46">
        <f t="shared" si="4"/>
        <v>0.56</v>
      </c>
      <c r="O25" s="46">
        <f t="shared" si="5"/>
        <v>4</v>
      </c>
      <c r="P25" s="46">
        <f t="shared" si="6"/>
        <v>0.644</v>
      </c>
      <c r="Q25" s="46">
        <f t="array" ref="Q25">IFS(E25="AA",5,E25="BB",4,E25="CC",3,E25="DD",2, E25="EE",1,E25="DDR",1)</f>
        <v>3</v>
      </c>
      <c r="R25" s="46">
        <f t="shared" si="7"/>
        <v>0.57</v>
      </c>
      <c r="S25" s="46">
        <f t="shared" si="8"/>
        <v>3</v>
      </c>
      <c r="T25" s="46">
        <f t="shared" si="9"/>
        <v>0.15</v>
      </c>
      <c r="U25" s="46">
        <f t="shared" si="10"/>
        <v>4</v>
      </c>
      <c r="V25" s="46">
        <f t="shared" si="11"/>
        <v>0.144</v>
      </c>
      <c r="W25" s="46">
        <f t="shared" si="18"/>
        <v>5</v>
      </c>
      <c r="X25" s="46">
        <f t="shared" si="17"/>
        <v>0.335</v>
      </c>
      <c r="Y25" s="46">
        <f t="array" ref="Y25">IFS(
J25="hutan",5,
J25="hutan, sungai",5,
J25="pekarangan",1,
J25="hutan, jalan desa",3,
J25="hutan, kebun sawit",1,
J25="hutan, jalan",3,
J25="sawah",3,
J25="kebun",3,
J25="sawah, kebun",1,
J25="kebun sawit",1,
J25="Lahan GI",5,
J25="kebun sawit, jalan provinsi",1,
J25="lahan kosong",5,
J25="kebun, lahan kosong",3,
J25="jalan desa, kebun sawit",1,
J25="sungai",5
)</f>
        <v>5</v>
      </c>
      <c r="Z25" s="46">
        <f t="shared" si="12"/>
        <v>0.365</v>
      </c>
      <c r="AA25" s="46">
        <f t="shared" si="13"/>
        <v>3.079</v>
      </c>
      <c r="AB25" s="46">
        <f t="shared" si="14"/>
        <v>3</v>
      </c>
    </row>
    <row r="26" ht="14.25" customHeight="1">
      <c r="A26" s="6" t="s">
        <v>101</v>
      </c>
      <c r="B26" s="44">
        <v>3.0</v>
      </c>
      <c r="C26" s="7">
        <v>1.0</v>
      </c>
      <c r="D26" s="58">
        <v>215.89</v>
      </c>
      <c r="E26" s="58" t="s">
        <v>132</v>
      </c>
      <c r="F26" s="58">
        <v>309.94</v>
      </c>
      <c r="G26" s="44">
        <v>3021.79</v>
      </c>
      <c r="H26" s="51">
        <v>395.363</v>
      </c>
      <c r="I26" s="52">
        <f t="shared" si="15"/>
        <v>395</v>
      </c>
      <c r="J26" s="46" t="s">
        <v>332</v>
      </c>
      <c r="K26" s="46">
        <f t="shared" si="1"/>
        <v>1</v>
      </c>
      <c r="L26" s="46">
        <f t="shared" si="2"/>
        <v>0.311</v>
      </c>
      <c r="M26" s="46">
        <f t="shared" si="3"/>
        <v>5</v>
      </c>
      <c r="N26" s="46">
        <f t="shared" si="4"/>
        <v>0.56</v>
      </c>
      <c r="O26" s="46">
        <f t="shared" si="5"/>
        <v>2</v>
      </c>
      <c r="P26" s="46">
        <f t="shared" si="6"/>
        <v>0.322</v>
      </c>
      <c r="Q26" s="46">
        <f t="array" ref="Q26">IFS(E26="AA",5,E26="BB",4,E26="CC",3,E26="DD",2, E26="EE",1,E26="DDR",1)</f>
        <v>3</v>
      </c>
      <c r="R26" s="46">
        <f t="shared" si="7"/>
        <v>0.57</v>
      </c>
      <c r="S26" s="46">
        <f t="shared" si="8"/>
        <v>4</v>
      </c>
      <c r="T26" s="46">
        <f t="shared" si="9"/>
        <v>0.2</v>
      </c>
      <c r="U26" s="46">
        <f t="shared" si="10"/>
        <v>4</v>
      </c>
      <c r="V26" s="46">
        <f t="shared" si="11"/>
        <v>0.144</v>
      </c>
      <c r="W26" s="46">
        <f t="shared" si="18"/>
        <v>2</v>
      </c>
      <c r="X26" s="46">
        <f t="shared" si="17"/>
        <v>0.134</v>
      </c>
      <c r="Y26" s="46">
        <f t="array" ref="Y26">IFS(
J26="hutan",5,
J26="hutan, sungai",5,
J26="pekarangan",1,
J26="hutan, jalan desa",3,
J26="hutan, kebun sawit",1,
J26="hutan, jalan",3,
J26="sawah",3,
J26="kebun",3,
J26="sawah, kebun",1,
J26="kebun sawit",1,
J26="Lahan GI",5,
J26="kebun sawit, jalan provinsi",1,
J26="lahan kosong",5,
J26="kebun, lahan kosong",3,
J26="jalan desa, kebun sawit",1,
J26="sungai",5
)</f>
        <v>5</v>
      </c>
      <c r="Z26" s="46">
        <f t="shared" si="12"/>
        <v>0.365</v>
      </c>
      <c r="AA26" s="46">
        <f t="shared" si="13"/>
        <v>2.606</v>
      </c>
      <c r="AB26" s="46">
        <f t="shared" si="14"/>
        <v>2</v>
      </c>
    </row>
    <row r="27" ht="14.25" customHeight="1">
      <c r="A27" s="6" t="s">
        <v>104</v>
      </c>
      <c r="B27" s="44">
        <v>2.0</v>
      </c>
      <c r="C27" s="7">
        <v>1.0</v>
      </c>
      <c r="D27" s="58">
        <v>253.96</v>
      </c>
      <c r="E27" s="58" t="s">
        <v>109</v>
      </c>
      <c r="F27" s="58">
        <v>108.4</v>
      </c>
      <c r="G27" s="44">
        <v>2885.81</v>
      </c>
      <c r="H27" s="51">
        <v>200.038</v>
      </c>
      <c r="I27" s="52">
        <f t="shared" si="15"/>
        <v>200</v>
      </c>
      <c r="J27" s="46" t="s">
        <v>332</v>
      </c>
      <c r="K27" s="46">
        <f t="shared" si="1"/>
        <v>3</v>
      </c>
      <c r="L27" s="46">
        <f t="shared" si="2"/>
        <v>0.933</v>
      </c>
      <c r="M27" s="46">
        <f t="shared" si="3"/>
        <v>5</v>
      </c>
      <c r="N27" s="46">
        <f t="shared" si="4"/>
        <v>0.56</v>
      </c>
      <c r="O27" s="46">
        <f t="shared" si="5"/>
        <v>1</v>
      </c>
      <c r="P27" s="46">
        <f t="shared" si="6"/>
        <v>0.161</v>
      </c>
      <c r="Q27" s="46">
        <f t="array" ref="Q27">IFS(E27="AA",5,E27="BB",4,E27="CC",3,E27="DD",2, E27="EE",1,E27="DDR",1)</f>
        <v>4</v>
      </c>
      <c r="R27" s="46">
        <f t="shared" si="7"/>
        <v>0.76</v>
      </c>
      <c r="S27" s="46">
        <f t="shared" si="8"/>
        <v>5</v>
      </c>
      <c r="T27" s="46">
        <f t="shared" si="9"/>
        <v>0.25</v>
      </c>
      <c r="U27" s="46">
        <f t="shared" si="10"/>
        <v>4</v>
      </c>
      <c r="V27" s="46">
        <f t="shared" si="11"/>
        <v>0.144</v>
      </c>
      <c r="W27" s="46">
        <f t="shared" si="18"/>
        <v>3</v>
      </c>
      <c r="X27" s="46">
        <f t="shared" si="17"/>
        <v>0.201</v>
      </c>
      <c r="Y27" s="46">
        <f t="array" ref="Y27">IFS(
J27="hutan",5,
J27="hutan, sungai",5,
J27="pekarangan",1,
J27="hutan, jalan desa",3,
J27="hutan, kebun sawit",1,
J27="hutan, jalan",3,
J27="sawah",3,
J27="kebun",3,
J27="sawah, kebun",1,
J27="kebun sawit",1,
J27="Lahan GI",5,
J27="kebun sawit, jalan provinsi",1,
J27="lahan kosong",5,
J27="kebun, lahan kosong",3,
J27="jalan desa, kebun sawit",1,
J27="sungai",5
)</f>
        <v>5</v>
      </c>
      <c r="Z27" s="46">
        <f t="shared" si="12"/>
        <v>0.365</v>
      </c>
      <c r="AA27" s="46">
        <f t="shared" si="13"/>
        <v>3.374</v>
      </c>
      <c r="AB27" s="46">
        <f t="shared" si="14"/>
        <v>3</v>
      </c>
    </row>
    <row r="28" ht="14.25" customHeight="1">
      <c r="A28" s="6" t="s">
        <v>107</v>
      </c>
      <c r="B28" s="44">
        <v>2.0</v>
      </c>
      <c r="C28" s="7">
        <v>1.0</v>
      </c>
      <c r="D28" s="58">
        <v>231.93</v>
      </c>
      <c r="E28" s="58" t="s">
        <v>109</v>
      </c>
      <c r="F28" s="58">
        <v>130.79</v>
      </c>
      <c r="G28" s="44">
        <v>2576.63</v>
      </c>
      <c r="H28" s="51">
        <v>249.995</v>
      </c>
      <c r="I28" s="52">
        <f t="shared" si="15"/>
        <v>250</v>
      </c>
      <c r="J28" s="46" t="s">
        <v>332</v>
      </c>
      <c r="K28" s="46">
        <f t="shared" si="1"/>
        <v>3</v>
      </c>
      <c r="L28" s="46">
        <f t="shared" si="2"/>
        <v>0.933</v>
      </c>
      <c r="M28" s="46">
        <f t="shared" si="3"/>
        <v>5</v>
      </c>
      <c r="N28" s="46">
        <f t="shared" si="4"/>
        <v>0.56</v>
      </c>
      <c r="O28" s="46">
        <f t="shared" si="5"/>
        <v>1</v>
      </c>
      <c r="P28" s="46">
        <f t="shared" si="6"/>
        <v>0.161</v>
      </c>
      <c r="Q28" s="46">
        <f t="array" ref="Q28">IFS(E28="AA",5,E28="BB",4,E28="CC",3,E28="DD",2, E28="EE",1,E28="DDR",1)</f>
        <v>4</v>
      </c>
      <c r="R28" s="46">
        <f t="shared" si="7"/>
        <v>0.76</v>
      </c>
      <c r="S28" s="46">
        <f t="shared" si="8"/>
        <v>5</v>
      </c>
      <c r="T28" s="46">
        <f t="shared" si="9"/>
        <v>0.25</v>
      </c>
      <c r="U28" s="46">
        <f t="shared" si="10"/>
        <v>4</v>
      </c>
      <c r="V28" s="46">
        <f t="shared" si="11"/>
        <v>0.144</v>
      </c>
      <c r="W28" s="46">
        <v>5.0</v>
      </c>
      <c r="X28" s="46">
        <f t="shared" si="17"/>
        <v>0.335</v>
      </c>
      <c r="Y28" s="46">
        <f t="array" ref="Y28">IFS(
J28="hutan",5,
J28="hutan, sungai",5,
J28="pekarangan",1,
J28="hutan, jalan desa",3,
J28="hutan, kebun sawit",1,
J28="hutan, jalan",3,
J28="sawah",3,
J28="kebun",3,
J28="sawah, kebun",1,
J28="kebun sawit",1,
J28="Lahan GI",5,
J28="kebun sawit, jalan provinsi",1,
J28="lahan kosong",5,
J28="kebun, lahan kosong",3,
J28="jalan desa, kebun sawit",1,
J28="sungai",5
)</f>
        <v>5</v>
      </c>
      <c r="Z28" s="46">
        <f t="shared" si="12"/>
        <v>0.365</v>
      </c>
      <c r="AA28" s="46">
        <f t="shared" si="13"/>
        <v>3.508</v>
      </c>
      <c r="AB28" s="46">
        <f t="shared" si="14"/>
        <v>3</v>
      </c>
    </row>
    <row r="29" ht="14.25" customHeight="1">
      <c r="A29" s="6" t="s">
        <v>111</v>
      </c>
      <c r="B29" s="44">
        <v>2.0</v>
      </c>
      <c r="C29" s="7">
        <v>1.0</v>
      </c>
      <c r="D29" s="58">
        <v>228.73</v>
      </c>
      <c r="E29" s="58" t="s">
        <v>109</v>
      </c>
      <c r="F29" s="58">
        <v>369.11</v>
      </c>
      <c r="G29" s="44">
        <v>2327.12</v>
      </c>
      <c r="H29" s="51">
        <v>250.011</v>
      </c>
      <c r="I29" s="52">
        <f t="shared" si="15"/>
        <v>250</v>
      </c>
      <c r="J29" s="46" t="s">
        <v>332</v>
      </c>
      <c r="K29" s="46">
        <f t="shared" si="1"/>
        <v>3</v>
      </c>
      <c r="L29" s="46">
        <f t="shared" si="2"/>
        <v>0.933</v>
      </c>
      <c r="M29" s="46">
        <f t="shared" si="3"/>
        <v>5</v>
      </c>
      <c r="N29" s="46">
        <f t="shared" si="4"/>
        <v>0.56</v>
      </c>
      <c r="O29" s="46">
        <f t="shared" si="5"/>
        <v>1</v>
      </c>
      <c r="P29" s="46">
        <f t="shared" si="6"/>
        <v>0.161</v>
      </c>
      <c r="Q29" s="46">
        <f t="array" ref="Q29">IFS(E29="AA",5,E29="BB",4,E29="CC",3,E29="DD",2, E29="EE",1,E29="DDR",1)</f>
        <v>4</v>
      </c>
      <c r="R29" s="46">
        <f t="shared" si="7"/>
        <v>0.76</v>
      </c>
      <c r="S29" s="46">
        <f t="shared" si="8"/>
        <v>4</v>
      </c>
      <c r="T29" s="46">
        <f t="shared" si="9"/>
        <v>0.2</v>
      </c>
      <c r="U29" s="46">
        <f t="shared" si="10"/>
        <v>4</v>
      </c>
      <c r="V29" s="46">
        <f t="shared" si="11"/>
        <v>0.144</v>
      </c>
      <c r="W29" s="46">
        <v>5.0</v>
      </c>
      <c r="X29" s="46">
        <f t="shared" si="17"/>
        <v>0.335</v>
      </c>
      <c r="Y29" s="46">
        <f t="array" ref="Y29">IFS(
J29="hutan",5,
J29="hutan, sungai",5,
J29="pekarangan",1,
J29="hutan, jalan desa",3,
J29="hutan, kebun sawit",1,
J29="hutan, jalan",3,
J29="sawah",3,
J29="kebun",3,
J29="sawah, kebun",1,
J29="kebun sawit",1,
J29="Lahan GI",5,
J29="kebun sawit, jalan provinsi",1,
J29="lahan kosong",5,
J29="kebun, lahan kosong",3,
J29="jalan desa, kebun sawit",1,
J29="sungai",5
)</f>
        <v>5</v>
      </c>
      <c r="Z29" s="46">
        <f t="shared" si="12"/>
        <v>0.365</v>
      </c>
      <c r="AA29" s="46">
        <f t="shared" si="13"/>
        <v>3.458</v>
      </c>
      <c r="AB29" s="46">
        <f t="shared" si="14"/>
        <v>3</v>
      </c>
    </row>
    <row r="30" ht="14.25" customHeight="1">
      <c r="A30" s="6" t="s">
        <v>114</v>
      </c>
      <c r="B30" s="44">
        <v>3.0</v>
      </c>
      <c r="C30" s="7">
        <v>1.0</v>
      </c>
      <c r="D30" s="58">
        <v>200.58</v>
      </c>
      <c r="E30" s="58" t="s">
        <v>132</v>
      </c>
      <c r="F30" s="58">
        <v>603.2</v>
      </c>
      <c r="G30" s="44">
        <v>1951.0</v>
      </c>
      <c r="H30" s="51">
        <v>375.412</v>
      </c>
      <c r="I30" s="52">
        <f t="shared" si="15"/>
        <v>375</v>
      </c>
      <c r="J30" s="46" t="s">
        <v>332</v>
      </c>
      <c r="K30" s="46">
        <f t="shared" si="1"/>
        <v>1</v>
      </c>
      <c r="L30" s="46">
        <f t="shared" si="2"/>
        <v>0.311</v>
      </c>
      <c r="M30" s="46">
        <f t="shared" si="3"/>
        <v>5</v>
      </c>
      <c r="N30" s="46">
        <f t="shared" si="4"/>
        <v>0.56</v>
      </c>
      <c r="O30" s="46">
        <f t="shared" si="5"/>
        <v>2</v>
      </c>
      <c r="P30" s="46">
        <f t="shared" si="6"/>
        <v>0.322</v>
      </c>
      <c r="Q30" s="46">
        <f t="array" ref="Q30">IFS(E30="AA",5,E30="BB",4,E30="CC",3,E30="DD",2, E30="EE",1,E30="DDR",1)</f>
        <v>3</v>
      </c>
      <c r="R30" s="46">
        <f t="shared" si="7"/>
        <v>0.57</v>
      </c>
      <c r="S30" s="46">
        <f t="shared" si="8"/>
        <v>3</v>
      </c>
      <c r="T30" s="46">
        <f t="shared" si="9"/>
        <v>0.15</v>
      </c>
      <c r="U30" s="46">
        <f t="shared" si="10"/>
        <v>3</v>
      </c>
      <c r="V30" s="46">
        <f t="shared" si="11"/>
        <v>0.108</v>
      </c>
      <c r="W30" s="46">
        <f t="shared" ref="W30:W47" si="19">MAX(1,MIN(5,
ROUND(5-(ABS(H30-275)/(275-100)*4),0)
))</f>
        <v>3</v>
      </c>
      <c r="X30" s="46">
        <f t="shared" si="17"/>
        <v>0.201</v>
      </c>
      <c r="Y30" s="46">
        <f t="array" ref="Y30">IFS(
J30="hutan",5,
J30="hutan, sungai",5,
J30="pekarangan",1,
J30="hutan, jalan desa",3,
J30="hutan, kebun sawit",1,
J30="hutan, jalan",3,
J30="sawah",3,
J30="kebun",3,
J30="sawah, kebun",1,
J30="kebun sawit",1,
J30="Lahan GI",5,
J30="kebun sawit, jalan provinsi",1,
J30="lahan kosong",5,
J30="kebun, lahan kosong",3,
J30="jalan desa, kebun sawit",1,
J30="sungai",5
)</f>
        <v>5</v>
      </c>
      <c r="Z30" s="46">
        <f t="shared" si="12"/>
        <v>0.365</v>
      </c>
      <c r="AA30" s="46">
        <f t="shared" si="13"/>
        <v>2.587</v>
      </c>
      <c r="AB30" s="46">
        <f t="shared" si="14"/>
        <v>2</v>
      </c>
    </row>
    <row r="31" ht="14.25" customHeight="1">
      <c r="A31" s="6" t="s">
        <v>117</v>
      </c>
      <c r="B31" s="44">
        <v>1.0</v>
      </c>
      <c r="C31" s="7">
        <v>1.0</v>
      </c>
      <c r="D31" s="58">
        <v>196.4</v>
      </c>
      <c r="E31" s="58" t="s">
        <v>175</v>
      </c>
      <c r="F31" s="58">
        <v>494.0</v>
      </c>
      <c r="G31" s="44">
        <v>1787.84</v>
      </c>
      <c r="H31" s="51">
        <v>272.52</v>
      </c>
      <c r="I31" s="52">
        <f t="shared" si="15"/>
        <v>273</v>
      </c>
      <c r="J31" s="46" t="s">
        <v>332</v>
      </c>
      <c r="K31" s="46">
        <f t="shared" si="1"/>
        <v>5</v>
      </c>
      <c r="L31" s="46">
        <f t="shared" si="2"/>
        <v>1.555</v>
      </c>
      <c r="M31" s="46">
        <f t="shared" si="3"/>
        <v>5</v>
      </c>
      <c r="N31" s="46">
        <f t="shared" si="4"/>
        <v>0.56</v>
      </c>
      <c r="O31" s="46">
        <f t="shared" si="5"/>
        <v>2</v>
      </c>
      <c r="P31" s="46">
        <f t="shared" si="6"/>
        <v>0.322</v>
      </c>
      <c r="Q31" s="46">
        <f t="array" ref="Q31">IFS(E31="AA",5,E31="BB",4,E31="CC",3,E31="DD",2, E31="EE",1,E31="DDR",1)</f>
        <v>5</v>
      </c>
      <c r="R31" s="46">
        <f t="shared" si="7"/>
        <v>0.95</v>
      </c>
      <c r="S31" s="46">
        <f t="shared" si="8"/>
        <v>4</v>
      </c>
      <c r="T31" s="46">
        <f t="shared" si="9"/>
        <v>0.2</v>
      </c>
      <c r="U31" s="46">
        <f t="shared" si="10"/>
        <v>3</v>
      </c>
      <c r="V31" s="46">
        <f t="shared" si="11"/>
        <v>0.108</v>
      </c>
      <c r="W31" s="46">
        <f t="shared" si="19"/>
        <v>5</v>
      </c>
      <c r="X31" s="46">
        <f t="shared" si="17"/>
        <v>0.335</v>
      </c>
      <c r="Y31" s="46">
        <f t="array" ref="Y31">IFS(
J31="hutan",5,
J31="hutan, sungai",5,
J31="pekarangan",1,
J31="hutan, jalan desa",3,
J31="hutan, kebun sawit",1,
J31="hutan, jalan",3,
J31="sawah",3,
J31="kebun",3,
J31="sawah, kebun",1,
J31="kebun sawit",1,
J31="Lahan GI",5,
J31="kebun sawit, jalan provinsi",1,
J31="lahan kosong",5,
J31="kebun, lahan kosong",3,
J31="jalan desa, kebun sawit",1,
J31="sungai",5
)</f>
        <v>5</v>
      </c>
      <c r="Z31" s="46">
        <f t="shared" si="12"/>
        <v>0.365</v>
      </c>
      <c r="AA31" s="46">
        <f t="shared" si="13"/>
        <v>4.395</v>
      </c>
      <c r="AB31" s="46">
        <f t="shared" si="14"/>
        <v>4</v>
      </c>
    </row>
    <row r="32" ht="14.25" customHeight="1">
      <c r="A32" s="6" t="s">
        <v>121</v>
      </c>
      <c r="B32" s="44">
        <v>1.0</v>
      </c>
      <c r="C32" s="7">
        <v>1.0</v>
      </c>
      <c r="D32" s="44">
        <v>194.63</v>
      </c>
      <c r="E32" s="44" t="s">
        <v>175</v>
      </c>
      <c r="F32" s="44">
        <v>392.48</v>
      </c>
      <c r="G32" s="44">
        <v>1475.7</v>
      </c>
      <c r="H32" s="51">
        <v>352.029</v>
      </c>
      <c r="I32" s="52">
        <f t="shared" si="15"/>
        <v>352</v>
      </c>
      <c r="J32" s="46" t="s">
        <v>332</v>
      </c>
      <c r="K32" s="46">
        <f t="shared" si="1"/>
        <v>5</v>
      </c>
      <c r="L32" s="46">
        <f t="shared" si="2"/>
        <v>1.555</v>
      </c>
      <c r="M32" s="46">
        <f t="shared" si="3"/>
        <v>5</v>
      </c>
      <c r="N32" s="46">
        <f t="shared" si="4"/>
        <v>0.56</v>
      </c>
      <c r="O32" s="46">
        <f t="shared" si="5"/>
        <v>2</v>
      </c>
      <c r="P32" s="46">
        <f t="shared" si="6"/>
        <v>0.322</v>
      </c>
      <c r="Q32" s="46">
        <f t="array" ref="Q32">IFS(E32="AA",5,E32="BB",4,E32="CC",3,E32="DD",2, E32="EE",1,E32="DDR",1)</f>
        <v>5</v>
      </c>
      <c r="R32" s="46">
        <f t="shared" si="7"/>
        <v>0.95</v>
      </c>
      <c r="S32" s="46">
        <f t="shared" si="8"/>
        <v>4</v>
      </c>
      <c r="T32" s="46">
        <f t="shared" si="9"/>
        <v>0.2</v>
      </c>
      <c r="U32" s="46">
        <f t="shared" si="10"/>
        <v>3</v>
      </c>
      <c r="V32" s="46">
        <f t="shared" si="11"/>
        <v>0.108</v>
      </c>
      <c r="W32" s="46">
        <f t="shared" si="19"/>
        <v>3</v>
      </c>
      <c r="X32" s="46">
        <f t="shared" si="17"/>
        <v>0.201</v>
      </c>
      <c r="Y32" s="46">
        <f t="array" ref="Y32">IFS(
J32="hutan",5,
J32="hutan, sungai",5,
J32="pekarangan",1,
J32="hutan, jalan desa",3,
J32="hutan, kebun sawit",1,
J32="hutan, jalan",3,
J32="sawah",3,
J32="kebun",3,
J32="sawah, kebun",1,
J32="kebun sawit",1,
J32="Lahan GI",5,
J32="kebun sawit, jalan provinsi",1,
J32="lahan kosong",5,
J32="kebun, lahan kosong",3,
J32="jalan desa, kebun sawit",1,
J32="sungai",5
)</f>
        <v>5</v>
      </c>
      <c r="Z32" s="46">
        <f t="shared" si="12"/>
        <v>0.365</v>
      </c>
      <c r="AA32" s="46">
        <f t="shared" si="13"/>
        <v>4.261</v>
      </c>
      <c r="AB32" s="46">
        <f t="shared" si="14"/>
        <v>4</v>
      </c>
    </row>
    <row r="33" ht="14.25" customHeight="1">
      <c r="A33" s="6" t="s">
        <v>126</v>
      </c>
      <c r="B33" s="44">
        <v>1.0</v>
      </c>
      <c r="C33" s="7">
        <v>1.0</v>
      </c>
      <c r="D33" s="44">
        <v>196.3</v>
      </c>
      <c r="E33" s="44" t="s">
        <v>175</v>
      </c>
      <c r="F33" s="44">
        <v>394.99</v>
      </c>
      <c r="G33" s="44">
        <v>1343.0</v>
      </c>
      <c r="H33" s="51">
        <v>361.774</v>
      </c>
      <c r="I33" s="52">
        <f t="shared" si="15"/>
        <v>362</v>
      </c>
      <c r="J33" s="46" t="s">
        <v>332</v>
      </c>
      <c r="K33" s="46">
        <f t="shared" si="1"/>
        <v>5</v>
      </c>
      <c r="L33" s="46">
        <f t="shared" si="2"/>
        <v>1.555</v>
      </c>
      <c r="M33" s="46">
        <f t="shared" si="3"/>
        <v>5</v>
      </c>
      <c r="N33" s="46">
        <f t="shared" si="4"/>
        <v>0.56</v>
      </c>
      <c r="O33" s="46">
        <f t="shared" si="5"/>
        <v>2</v>
      </c>
      <c r="P33" s="46">
        <f t="shared" si="6"/>
        <v>0.322</v>
      </c>
      <c r="Q33" s="46">
        <f t="array" ref="Q33">IFS(E33="AA",5,E33="BB",4,E33="CC",3,E33="DD",2, E33="EE",1,E33="DDR",1)</f>
        <v>5</v>
      </c>
      <c r="R33" s="46">
        <f t="shared" si="7"/>
        <v>0.95</v>
      </c>
      <c r="S33" s="46">
        <f t="shared" si="8"/>
        <v>4</v>
      </c>
      <c r="T33" s="46">
        <f t="shared" si="9"/>
        <v>0.2</v>
      </c>
      <c r="U33" s="46">
        <f t="shared" si="10"/>
        <v>3</v>
      </c>
      <c r="V33" s="46">
        <f t="shared" si="11"/>
        <v>0.108</v>
      </c>
      <c r="W33" s="46">
        <f t="shared" si="19"/>
        <v>3</v>
      </c>
      <c r="X33" s="46">
        <f t="shared" si="17"/>
        <v>0.201</v>
      </c>
      <c r="Y33" s="46">
        <f t="array" ref="Y33">IFS(
J33="hutan",5,
J33="hutan, sungai",5,
J33="pekarangan",1,
J33="hutan, jalan desa",3,
J33="hutan, kebun sawit",1,
J33="hutan, jalan",3,
J33="sawah",3,
J33="kebun",3,
J33="sawah, kebun",1,
J33="kebun sawit",1,
J33="Lahan GI",5,
J33="kebun sawit, jalan provinsi",1,
J33="lahan kosong",5,
J33="kebun, lahan kosong",3,
J33="jalan desa, kebun sawit",1,
J33="sungai",5
)</f>
        <v>5</v>
      </c>
      <c r="Z33" s="46">
        <f t="shared" si="12"/>
        <v>0.365</v>
      </c>
      <c r="AA33" s="46">
        <f t="shared" si="13"/>
        <v>4.261</v>
      </c>
      <c r="AB33" s="46">
        <f t="shared" si="14"/>
        <v>4</v>
      </c>
    </row>
    <row r="34" ht="14.25" customHeight="1">
      <c r="A34" s="6" t="s">
        <v>129</v>
      </c>
      <c r="B34" s="44">
        <v>1.0</v>
      </c>
      <c r="C34" s="7">
        <v>1.0</v>
      </c>
      <c r="D34" s="44">
        <v>172.45</v>
      </c>
      <c r="E34" s="44" t="s">
        <v>175</v>
      </c>
      <c r="F34" s="44">
        <v>571.0</v>
      </c>
      <c r="G34" s="44">
        <v>1113.0</v>
      </c>
      <c r="H34" s="51">
        <v>362.32</v>
      </c>
      <c r="I34" s="52">
        <f t="shared" si="15"/>
        <v>362</v>
      </c>
      <c r="J34" s="46" t="s">
        <v>332</v>
      </c>
      <c r="K34" s="46">
        <f t="shared" si="1"/>
        <v>5</v>
      </c>
      <c r="L34" s="46">
        <f t="shared" si="2"/>
        <v>1.555</v>
      </c>
      <c r="M34" s="46">
        <f t="shared" si="3"/>
        <v>5</v>
      </c>
      <c r="N34" s="46">
        <f t="shared" si="4"/>
        <v>0.56</v>
      </c>
      <c r="O34" s="46">
        <f t="shared" si="5"/>
        <v>2</v>
      </c>
      <c r="P34" s="46">
        <f t="shared" si="6"/>
        <v>0.322</v>
      </c>
      <c r="Q34" s="46">
        <f t="array" ref="Q34">IFS(E34="AA",5,E34="BB",4,E34="CC",3,E34="DD",2, E34="EE",1,E34="DDR",1)</f>
        <v>5</v>
      </c>
      <c r="R34" s="46">
        <f t="shared" si="7"/>
        <v>0.95</v>
      </c>
      <c r="S34" s="46">
        <f t="shared" si="8"/>
        <v>3</v>
      </c>
      <c r="T34" s="46">
        <f t="shared" si="9"/>
        <v>0.15</v>
      </c>
      <c r="U34" s="46">
        <f t="shared" si="10"/>
        <v>2</v>
      </c>
      <c r="V34" s="46">
        <f t="shared" si="11"/>
        <v>0.072</v>
      </c>
      <c r="W34" s="46">
        <f t="shared" si="19"/>
        <v>3</v>
      </c>
      <c r="X34" s="46">
        <f t="shared" si="17"/>
        <v>0.201</v>
      </c>
      <c r="Y34" s="46">
        <f t="array" ref="Y34">IFS(
J34="hutan",5,
J34="hutan, sungai",5,
J34="pekarangan",1,
J34="hutan, jalan desa",3,
J34="hutan, kebun sawit",1,
J34="hutan, jalan",3,
J34="sawah",3,
J34="kebun",3,
J34="sawah, kebun",1,
J34="kebun sawit",1,
J34="Lahan GI",5,
J34="kebun sawit, jalan provinsi",1,
J34="lahan kosong",5,
J34="kebun, lahan kosong",3,
J34="jalan desa, kebun sawit",1,
J34="sungai",5
)</f>
        <v>5</v>
      </c>
      <c r="Z34" s="46">
        <f t="shared" si="12"/>
        <v>0.365</v>
      </c>
      <c r="AA34" s="46">
        <f t="shared" si="13"/>
        <v>4.175</v>
      </c>
      <c r="AB34" s="46">
        <f t="shared" si="14"/>
        <v>4</v>
      </c>
    </row>
    <row r="35" ht="14.25" customHeight="1">
      <c r="A35" s="6" t="s">
        <v>134</v>
      </c>
      <c r="B35" s="44">
        <v>1.0</v>
      </c>
      <c r="C35" s="7">
        <v>2.0</v>
      </c>
      <c r="D35" s="44">
        <v>167.21</v>
      </c>
      <c r="E35" s="44" t="s">
        <v>175</v>
      </c>
      <c r="F35" s="44">
        <v>572.0</v>
      </c>
      <c r="G35" s="44">
        <v>957.0</v>
      </c>
      <c r="H35" s="51">
        <v>392.412</v>
      </c>
      <c r="I35" s="52">
        <f t="shared" si="15"/>
        <v>392</v>
      </c>
      <c r="J35" s="46" t="s">
        <v>419</v>
      </c>
      <c r="K35" s="46">
        <f t="shared" si="1"/>
        <v>5</v>
      </c>
      <c r="L35" s="46">
        <f t="shared" si="2"/>
        <v>1.555</v>
      </c>
      <c r="M35" s="46">
        <f t="shared" si="3"/>
        <v>3</v>
      </c>
      <c r="N35" s="46">
        <f t="shared" si="4"/>
        <v>0.336</v>
      </c>
      <c r="O35" s="46">
        <f t="shared" si="5"/>
        <v>2</v>
      </c>
      <c r="P35" s="46">
        <f t="shared" si="6"/>
        <v>0.322</v>
      </c>
      <c r="Q35" s="46">
        <f t="array" ref="Q35">IFS(E35="AA",5,E35="BB",4,E35="CC",3,E35="DD",2, E35="EE",1,E35="DDR",1)</f>
        <v>5</v>
      </c>
      <c r="R35" s="46">
        <f t="shared" si="7"/>
        <v>0.95</v>
      </c>
      <c r="S35" s="46">
        <f t="shared" si="8"/>
        <v>3</v>
      </c>
      <c r="T35" s="46">
        <f t="shared" si="9"/>
        <v>0.15</v>
      </c>
      <c r="U35" s="46">
        <f t="shared" si="10"/>
        <v>2</v>
      </c>
      <c r="V35" s="46">
        <f t="shared" si="11"/>
        <v>0.072</v>
      </c>
      <c r="W35" s="46">
        <f t="shared" si="19"/>
        <v>2</v>
      </c>
      <c r="X35" s="46">
        <f t="shared" si="17"/>
        <v>0.134</v>
      </c>
      <c r="Y35" s="46">
        <f t="array" ref="Y35">IFS(
J35="hutan",5,
J35="hutan, sungai",5,
J35="pekarangan",1,
J35="hutan, jalan desa",3,
J35="hutan, kebun sawit",1,
J35="hutan, jalan",3,
J35="sawah",3,
J35="kebun",3,
J35="sawah, kebun",1,
J35="kebun sawit",1,
J35="Lahan GI",5,
J35="kebun sawit, jalan provinsi",1,
J35="lahan kosong",5,
J35="kebun, lahan kosong",3,
J35="jalan desa, kebun sawit",1,
J35="sungai",5
)</f>
        <v>3</v>
      </c>
      <c r="Z35" s="46">
        <f t="shared" si="12"/>
        <v>0.219</v>
      </c>
      <c r="AA35" s="46">
        <f t="shared" si="13"/>
        <v>3.738</v>
      </c>
      <c r="AB35" s="46">
        <f t="shared" si="14"/>
        <v>4</v>
      </c>
    </row>
    <row r="36" ht="14.25" customHeight="1">
      <c r="A36" s="6" t="s">
        <v>138</v>
      </c>
      <c r="B36" s="44">
        <v>1.0</v>
      </c>
      <c r="C36" s="7">
        <v>1.0</v>
      </c>
      <c r="D36" s="44">
        <v>139.42</v>
      </c>
      <c r="E36" s="44" t="s">
        <v>175</v>
      </c>
      <c r="F36" s="44">
        <v>555.05</v>
      </c>
      <c r="G36" s="44">
        <v>900.0</v>
      </c>
      <c r="H36" s="51">
        <v>322.629</v>
      </c>
      <c r="I36" s="52">
        <f t="shared" si="15"/>
        <v>323</v>
      </c>
      <c r="J36" s="46" t="s">
        <v>332</v>
      </c>
      <c r="K36" s="46">
        <f t="shared" si="1"/>
        <v>5</v>
      </c>
      <c r="L36" s="46">
        <f t="shared" si="2"/>
        <v>1.555</v>
      </c>
      <c r="M36" s="46">
        <f t="shared" si="3"/>
        <v>5</v>
      </c>
      <c r="N36" s="46">
        <f t="shared" si="4"/>
        <v>0.56</v>
      </c>
      <c r="O36" s="46">
        <f t="shared" si="5"/>
        <v>3</v>
      </c>
      <c r="P36" s="46">
        <f t="shared" si="6"/>
        <v>0.483</v>
      </c>
      <c r="Q36" s="46">
        <f t="array" ref="Q36">IFS(E36="AA",5,E36="BB",4,E36="CC",3,E36="DD",2, E36="EE",1,E36="DDR",1)</f>
        <v>5</v>
      </c>
      <c r="R36" s="46">
        <f t="shared" si="7"/>
        <v>0.95</v>
      </c>
      <c r="S36" s="46">
        <f t="shared" si="8"/>
        <v>3</v>
      </c>
      <c r="T36" s="46">
        <f t="shared" si="9"/>
        <v>0.15</v>
      </c>
      <c r="U36" s="46">
        <f t="shared" si="10"/>
        <v>2</v>
      </c>
      <c r="V36" s="46">
        <f t="shared" si="11"/>
        <v>0.072</v>
      </c>
      <c r="W36" s="46">
        <f t="shared" si="19"/>
        <v>4</v>
      </c>
      <c r="X36" s="46">
        <f t="shared" si="17"/>
        <v>0.268</v>
      </c>
      <c r="Y36" s="46">
        <f t="array" ref="Y36">IFS(
J36="hutan",5,
J36="hutan, sungai",5,
J36="pekarangan",1,
J36="hutan, jalan desa",3,
J36="hutan, kebun sawit",1,
J36="hutan, jalan",3,
J36="sawah",3,
J36="kebun",3,
J36="sawah, kebun",1,
J36="kebun sawit",1,
J36="Lahan GI",5,
J36="kebun sawit, jalan provinsi",1,
J36="lahan kosong",5,
J36="kebun, lahan kosong",3,
J36="jalan desa, kebun sawit",1,
J36="sungai",5
)</f>
        <v>5</v>
      </c>
      <c r="Z36" s="46">
        <f t="shared" si="12"/>
        <v>0.365</v>
      </c>
      <c r="AA36" s="46">
        <f t="shared" si="13"/>
        <v>4.403</v>
      </c>
      <c r="AB36" s="46">
        <f t="shared" si="14"/>
        <v>4</v>
      </c>
    </row>
    <row r="37" ht="14.25" customHeight="1">
      <c r="A37" s="6" t="s">
        <v>141</v>
      </c>
      <c r="B37" s="44">
        <v>1.0</v>
      </c>
      <c r="C37" s="7">
        <v>3.0</v>
      </c>
      <c r="D37" s="44">
        <v>130.34</v>
      </c>
      <c r="E37" s="44" t="s">
        <v>175</v>
      </c>
      <c r="F37" s="44">
        <v>555.0</v>
      </c>
      <c r="G37" s="44">
        <v>876.0</v>
      </c>
      <c r="H37" s="51">
        <v>327.858</v>
      </c>
      <c r="I37" s="52">
        <f t="shared" si="15"/>
        <v>328</v>
      </c>
      <c r="J37" s="46" t="s">
        <v>420</v>
      </c>
      <c r="K37" s="46">
        <f t="shared" si="1"/>
        <v>5</v>
      </c>
      <c r="L37" s="46">
        <f t="shared" si="2"/>
        <v>1.555</v>
      </c>
      <c r="M37" s="46">
        <f t="shared" si="3"/>
        <v>1</v>
      </c>
      <c r="N37" s="46">
        <f t="shared" si="4"/>
        <v>0.112</v>
      </c>
      <c r="O37" s="46">
        <f t="shared" si="5"/>
        <v>3</v>
      </c>
      <c r="P37" s="46">
        <f t="shared" si="6"/>
        <v>0.483</v>
      </c>
      <c r="Q37" s="46">
        <f t="array" ref="Q37">IFS(E37="AA",5,E37="BB",4,E37="CC",3,E37="DD",2, E37="EE",1,E37="DDR",1)</f>
        <v>5</v>
      </c>
      <c r="R37" s="46">
        <f t="shared" si="7"/>
        <v>0.95</v>
      </c>
      <c r="S37" s="46">
        <f t="shared" si="8"/>
        <v>3</v>
      </c>
      <c r="T37" s="46">
        <f t="shared" si="9"/>
        <v>0.15</v>
      </c>
      <c r="U37" s="46">
        <f t="shared" si="10"/>
        <v>2</v>
      </c>
      <c r="V37" s="46">
        <f t="shared" si="11"/>
        <v>0.072</v>
      </c>
      <c r="W37" s="46">
        <f t="shared" si="19"/>
        <v>4</v>
      </c>
      <c r="X37" s="46">
        <f t="shared" si="17"/>
        <v>0.268</v>
      </c>
      <c r="Y37" s="46">
        <f t="array" ref="Y37">IFS(
J37="hutan",5,
J37="hutan, sungai",5,
J37="pekarangan",1,
J37="hutan, jalan desa",3,
J37="hutan, kebun sawit",1,
J37="hutan, jalan",3,
J37="sawah",3,
J37="kebun",3,
J37="sawah, kebun",1,
J37="kebun sawit",1,
J37="Lahan GI",5,
J37="kebun sawit, jalan provinsi",1,
J37="lahan kosong",5,
J37="kebun, lahan kosong",3,
J37="jalan desa, kebun sawit",1,
J37="sungai",5
)</f>
        <v>1</v>
      </c>
      <c r="Z37" s="46">
        <f t="shared" si="12"/>
        <v>0.073</v>
      </c>
      <c r="AA37" s="46">
        <f t="shared" si="13"/>
        <v>3.663</v>
      </c>
      <c r="AB37" s="46">
        <f t="shared" si="14"/>
        <v>4</v>
      </c>
    </row>
    <row r="38" ht="14.25" customHeight="1">
      <c r="A38" s="6" t="s">
        <v>144</v>
      </c>
      <c r="B38" s="44">
        <v>1.0</v>
      </c>
      <c r="C38" s="7">
        <v>1.0</v>
      </c>
      <c r="D38" s="44">
        <v>134.34</v>
      </c>
      <c r="E38" s="44" t="s">
        <v>175</v>
      </c>
      <c r="F38" s="44">
        <v>533.0</v>
      </c>
      <c r="G38" s="44">
        <v>85.0</v>
      </c>
      <c r="H38" s="51">
        <v>377.261</v>
      </c>
      <c r="I38" s="52">
        <f t="shared" si="15"/>
        <v>377</v>
      </c>
      <c r="J38" s="46" t="s">
        <v>332</v>
      </c>
      <c r="K38" s="46">
        <f t="shared" si="1"/>
        <v>5</v>
      </c>
      <c r="L38" s="46">
        <f t="shared" si="2"/>
        <v>1.555</v>
      </c>
      <c r="M38" s="46">
        <f t="shared" si="3"/>
        <v>5</v>
      </c>
      <c r="N38" s="46">
        <f t="shared" si="4"/>
        <v>0.56</v>
      </c>
      <c r="O38" s="46">
        <f t="shared" si="5"/>
        <v>3</v>
      </c>
      <c r="P38" s="46">
        <f t="shared" si="6"/>
        <v>0.483</v>
      </c>
      <c r="Q38" s="46">
        <f t="array" ref="Q38">IFS(E38="AA",5,E38="BB",4,E38="CC",3,E38="DD",2, E38="EE",1,E38="DDR",1)</f>
        <v>5</v>
      </c>
      <c r="R38" s="46">
        <f t="shared" si="7"/>
        <v>0.95</v>
      </c>
      <c r="S38" s="46">
        <f t="shared" si="8"/>
        <v>3</v>
      </c>
      <c r="T38" s="46">
        <f t="shared" si="9"/>
        <v>0.15</v>
      </c>
      <c r="U38" s="46">
        <f t="shared" si="10"/>
        <v>1</v>
      </c>
      <c r="V38" s="46">
        <f t="shared" si="11"/>
        <v>0.036</v>
      </c>
      <c r="W38" s="46">
        <f t="shared" si="19"/>
        <v>3</v>
      </c>
      <c r="X38" s="46">
        <f t="shared" si="17"/>
        <v>0.201</v>
      </c>
      <c r="Y38" s="46">
        <f t="array" ref="Y38">IFS(
J38="hutan",5,
J38="hutan, sungai",5,
J38="pekarangan",1,
J38="hutan, jalan desa",3,
J38="hutan, kebun sawit",1,
J38="hutan, jalan",3,
J38="sawah",3,
J38="kebun",3,
J38="sawah, kebun",1,
J38="kebun sawit",1,
J38="Lahan GI",5,
J38="kebun sawit, jalan provinsi",1,
J38="lahan kosong",5,
J38="kebun, lahan kosong",3,
J38="jalan desa, kebun sawit",1,
J38="sungai",5
)</f>
        <v>5</v>
      </c>
      <c r="Z38" s="46">
        <f t="shared" si="12"/>
        <v>0.365</v>
      </c>
      <c r="AA38" s="46">
        <f t="shared" si="13"/>
        <v>4.3</v>
      </c>
      <c r="AB38" s="46">
        <f t="shared" si="14"/>
        <v>4</v>
      </c>
    </row>
    <row r="39" ht="14.25" customHeight="1">
      <c r="A39" s="6" t="s">
        <v>147</v>
      </c>
      <c r="B39" s="44">
        <v>1.0</v>
      </c>
      <c r="C39" s="7">
        <v>1.0</v>
      </c>
      <c r="D39" s="44">
        <v>137.0</v>
      </c>
      <c r="E39" s="44" t="s">
        <v>175</v>
      </c>
      <c r="F39" s="44">
        <v>145.0</v>
      </c>
      <c r="G39" s="44">
        <v>125.0</v>
      </c>
      <c r="H39" s="51">
        <v>344.73</v>
      </c>
      <c r="I39" s="52">
        <f t="shared" si="15"/>
        <v>345</v>
      </c>
      <c r="J39" s="46" t="s">
        <v>332</v>
      </c>
      <c r="K39" s="46">
        <f t="shared" si="1"/>
        <v>5</v>
      </c>
      <c r="L39" s="46">
        <f t="shared" si="2"/>
        <v>1.555</v>
      </c>
      <c r="M39" s="46">
        <f t="shared" si="3"/>
        <v>5</v>
      </c>
      <c r="N39" s="46">
        <f t="shared" si="4"/>
        <v>0.56</v>
      </c>
      <c r="O39" s="46">
        <f t="shared" si="5"/>
        <v>3</v>
      </c>
      <c r="P39" s="46">
        <f t="shared" si="6"/>
        <v>0.483</v>
      </c>
      <c r="Q39" s="46">
        <f t="array" ref="Q39">IFS(E39="AA",5,E39="BB",4,E39="CC",3,E39="DD",2, E39="EE",1,E39="DDR",1)</f>
        <v>5</v>
      </c>
      <c r="R39" s="46">
        <f t="shared" si="7"/>
        <v>0.95</v>
      </c>
      <c r="S39" s="46">
        <f t="shared" si="8"/>
        <v>5</v>
      </c>
      <c r="T39" s="46">
        <f t="shared" si="9"/>
        <v>0.25</v>
      </c>
      <c r="U39" s="46">
        <f t="shared" si="10"/>
        <v>1</v>
      </c>
      <c r="V39" s="46">
        <f t="shared" si="11"/>
        <v>0.036</v>
      </c>
      <c r="W39" s="46">
        <f t="shared" si="19"/>
        <v>3</v>
      </c>
      <c r="X39" s="46">
        <f t="shared" si="17"/>
        <v>0.201</v>
      </c>
      <c r="Y39" s="46">
        <f t="array" ref="Y39">IFS(
J39="hutan",5,
J39="hutan, sungai",5,
J39="pekarangan",1,
J39="hutan, jalan desa",3,
J39="hutan, kebun sawit",1,
J39="hutan, jalan",3,
J39="sawah",3,
J39="kebun",3,
J39="sawah, kebun",1,
J39="kebun sawit",1,
J39="Lahan GI",5,
J39="kebun sawit, jalan provinsi",1,
J39="lahan kosong",5,
J39="kebun, lahan kosong",3,
J39="jalan desa, kebun sawit",1,
J39="sungai",5
)</f>
        <v>5</v>
      </c>
      <c r="Z39" s="46">
        <f t="shared" si="12"/>
        <v>0.365</v>
      </c>
      <c r="AA39" s="46">
        <f t="shared" si="13"/>
        <v>4.4</v>
      </c>
      <c r="AB39" s="46">
        <f t="shared" si="14"/>
        <v>4</v>
      </c>
    </row>
    <row r="40" ht="14.25" customHeight="1">
      <c r="A40" s="6" t="s">
        <v>150</v>
      </c>
      <c r="B40" s="44">
        <v>1.0</v>
      </c>
      <c r="C40" s="7">
        <v>2.0</v>
      </c>
      <c r="D40" s="44">
        <v>131.33</v>
      </c>
      <c r="E40" s="44" t="s">
        <v>175</v>
      </c>
      <c r="F40" s="44">
        <v>181.64</v>
      </c>
      <c r="G40" s="44">
        <v>165.28</v>
      </c>
      <c r="H40" s="51">
        <v>323.492</v>
      </c>
      <c r="I40" s="52">
        <f t="shared" si="15"/>
        <v>323</v>
      </c>
      <c r="J40" s="46" t="s">
        <v>427</v>
      </c>
      <c r="K40" s="46">
        <f t="shared" si="1"/>
        <v>5</v>
      </c>
      <c r="L40" s="46">
        <f t="shared" si="2"/>
        <v>1.555</v>
      </c>
      <c r="M40" s="46">
        <f t="shared" si="3"/>
        <v>3</v>
      </c>
      <c r="N40" s="46">
        <f t="shared" si="4"/>
        <v>0.336</v>
      </c>
      <c r="O40" s="46">
        <f t="shared" si="5"/>
        <v>3</v>
      </c>
      <c r="P40" s="46">
        <f t="shared" si="6"/>
        <v>0.483</v>
      </c>
      <c r="Q40" s="46">
        <f t="array" ref="Q40">IFS(E40="AA",5,E40="BB",4,E40="CC",3,E40="DD",2, E40="EE",1,E40="DDR",1)</f>
        <v>5</v>
      </c>
      <c r="R40" s="46">
        <f t="shared" si="7"/>
        <v>0.95</v>
      </c>
      <c r="S40" s="46">
        <f t="shared" si="8"/>
        <v>4</v>
      </c>
      <c r="T40" s="46">
        <f t="shared" si="9"/>
        <v>0.2</v>
      </c>
      <c r="U40" s="46">
        <f t="shared" si="10"/>
        <v>1</v>
      </c>
      <c r="V40" s="46">
        <f t="shared" si="11"/>
        <v>0.036</v>
      </c>
      <c r="W40" s="46">
        <f t="shared" si="19"/>
        <v>4</v>
      </c>
      <c r="X40" s="46">
        <f t="shared" si="17"/>
        <v>0.268</v>
      </c>
      <c r="Y40" s="46">
        <f t="array" ref="Y40">IFS(
J40="hutan",5,
J40="hutan, sungai",5,
J40="pekarangan",1,
J40="hutan, jalan desa",3,
J40="hutan, kebun sawit",1,
J40="hutan, jalan",3,
J40="sawah",3,
J40="kebun",3,
J40="sawah, kebun",1,
J40="kebun sawit",1,
J40="Lahan GI",5,
J40="kebun sawit, jalan provinsi",1,
J40="lahan kosong",5,
J40="kebun, lahan kosong",3,
J40="jalan desa, kebun sawit",1,
J40="sungai",5
)</f>
        <v>3</v>
      </c>
      <c r="Z40" s="46">
        <f t="shared" si="12"/>
        <v>0.219</v>
      </c>
      <c r="AA40" s="46">
        <f t="shared" si="13"/>
        <v>4.047</v>
      </c>
      <c r="AB40" s="46">
        <f t="shared" si="14"/>
        <v>4</v>
      </c>
    </row>
    <row r="41" ht="14.25" customHeight="1">
      <c r="A41" s="6" t="s">
        <v>153</v>
      </c>
      <c r="B41" s="44">
        <v>3.0</v>
      </c>
      <c r="C41" s="7">
        <v>1.0</v>
      </c>
      <c r="D41" s="44">
        <v>137.61</v>
      </c>
      <c r="E41" s="44" t="s">
        <v>132</v>
      </c>
      <c r="F41" s="44">
        <v>291.0</v>
      </c>
      <c r="G41" s="44">
        <v>261.68</v>
      </c>
      <c r="H41" s="51">
        <v>314.682</v>
      </c>
      <c r="I41" s="52">
        <f t="shared" si="15"/>
        <v>315</v>
      </c>
      <c r="J41" s="46" t="s">
        <v>332</v>
      </c>
      <c r="K41" s="46">
        <f t="shared" si="1"/>
        <v>1</v>
      </c>
      <c r="L41" s="46">
        <f t="shared" si="2"/>
        <v>0.311</v>
      </c>
      <c r="M41" s="46">
        <f t="shared" si="3"/>
        <v>5</v>
      </c>
      <c r="N41" s="46">
        <f t="shared" si="4"/>
        <v>0.56</v>
      </c>
      <c r="O41" s="46">
        <f t="shared" si="5"/>
        <v>3</v>
      </c>
      <c r="P41" s="46">
        <f t="shared" si="6"/>
        <v>0.483</v>
      </c>
      <c r="Q41" s="46">
        <f t="array" ref="Q41">IFS(E41="AA",5,E41="BB",4,E41="CC",3,E41="DD",2, E41="EE",1,E41="DDR",1)</f>
        <v>3</v>
      </c>
      <c r="R41" s="46">
        <f t="shared" si="7"/>
        <v>0.57</v>
      </c>
      <c r="S41" s="46">
        <f t="shared" si="8"/>
        <v>4</v>
      </c>
      <c r="T41" s="46">
        <f t="shared" si="9"/>
        <v>0.2</v>
      </c>
      <c r="U41" s="46">
        <f t="shared" si="10"/>
        <v>1</v>
      </c>
      <c r="V41" s="46">
        <f t="shared" si="11"/>
        <v>0.036</v>
      </c>
      <c r="W41" s="46">
        <f t="shared" si="19"/>
        <v>4</v>
      </c>
      <c r="X41" s="46">
        <f t="shared" si="17"/>
        <v>0.268</v>
      </c>
      <c r="Y41" s="46">
        <f t="array" ref="Y41">IFS(
J41="hutan",5,
J41="hutan, sungai",5,
J41="pekarangan",1,
J41="hutan, jalan desa",3,
J41="hutan, kebun sawit",1,
J41="hutan, jalan",3,
J41="sawah",3,
J41="kebun",3,
J41="sawah, kebun",1,
J41="kebun sawit",1,
J41="Lahan GI",5,
J41="kebun sawit, jalan provinsi",1,
J41="lahan kosong",5,
J41="kebun, lahan kosong",3,
J41="jalan desa, kebun sawit",1,
J41="sungai",5
)</f>
        <v>5</v>
      </c>
      <c r="Z41" s="46">
        <f t="shared" si="12"/>
        <v>0.365</v>
      </c>
      <c r="AA41" s="46">
        <f t="shared" si="13"/>
        <v>2.793</v>
      </c>
      <c r="AB41" s="46">
        <f t="shared" si="14"/>
        <v>2</v>
      </c>
    </row>
    <row r="42" ht="14.25" customHeight="1">
      <c r="A42" s="6" t="s">
        <v>156</v>
      </c>
      <c r="B42" s="44">
        <v>1.0</v>
      </c>
      <c r="C42" s="7">
        <v>1.0</v>
      </c>
      <c r="D42" s="44">
        <v>121.6</v>
      </c>
      <c r="E42" s="44" t="s">
        <v>175</v>
      </c>
      <c r="F42" s="44">
        <v>257.61</v>
      </c>
      <c r="G42" s="44">
        <v>229.36</v>
      </c>
      <c r="H42" s="51">
        <v>367.347</v>
      </c>
      <c r="I42" s="52">
        <f t="shared" si="15"/>
        <v>367</v>
      </c>
      <c r="J42" s="46" t="s">
        <v>332</v>
      </c>
      <c r="K42" s="46">
        <f t="shared" si="1"/>
        <v>5</v>
      </c>
      <c r="L42" s="46">
        <f t="shared" si="2"/>
        <v>1.555</v>
      </c>
      <c r="M42" s="46">
        <f t="shared" si="3"/>
        <v>5</v>
      </c>
      <c r="N42" s="46">
        <f t="shared" si="4"/>
        <v>0.56</v>
      </c>
      <c r="O42" s="46">
        <f t="shared" si="5"/>
        <v>3</v>
      </c>
      <c r="P42" s="46">
        <f t="shared" si="6"/>
        <v>0.483</v>
      </c>
      <c r="Q42" s="46">
        <f t="array" ref="Q42">IFS(E42="AA",5,E42="BB",4,E42="CC",3,E42="DD",2, E42="EE",1,E42="DDR",1)</f>
        <v>5</v>
      </c>
      <c r="R42" s="46">
        <f t="shared" si="7"/>
        <v>0.95</v>
      </c>
      <c r="S42" s="46">
        <f t="shared" si="8"/>
        <v>4</v>
      </c>
      <c r="T42" s="46">
        <f t="shared" si="9"/>
        <v>0.2</v>
      </c>
      <c r="U42" s="46">
        <f t="shared" si="10"/>
        <v>1</v>
      </c>
      <c r="V42" s="46">
        <f t="shared" si="11"/>
        <v>0.036</v>
      </c>
      <c r="W42" s="46">
        <f t="shared" si="19"/>
        <v>3</v>
      </c>
      <c r="X42" s="46">
        <f t="shared" si="17"/>
        <v>0.201</v>
      </c>
      <c r="Y42" s="46">
        <f t="array" ref="Y42">IFS(
J42="hutan",5,
J42="hutan, sungai",5,
J42="pekarangan",1,
J42="hutan, jalan desa",3,
J42="hutan, kebun sawit",1,
J42="hutan, jalan",3,
J42="sawah",3,
J42="kebun",3,
J42="sawah, kebun",1,
J42="kebun sawit",1,
J42="Lahan GI",5,
J42="kebun sawit, jalan provinsi",1,
J42="lahan kosong",5,
J42="kebun, lahan kosong",3,
J42="jalan desa, kebun sawit",1,
J42="sungai",5
)</f>
        <v>5</v>
      </c>
      <c r="Z42" s="46">
        <f t="shared" si="12"/>
        <v>0.365</v>
      </c>
      <c r="AA42" s="46">
        <f t="shared" si="13"/>
        <v>4.35</v>
      </c>
      <c r="AB42" s="46">
        <f t="shared" si="14"/>
        <v>4</v>
      </c>
    </row>
    <row r="43" ht="14.25" customHeight="1">
      <c r="A43" s="6" t="s">
        <v>159</v>
      </c>
      <c r="B43" s="44">
        <v>2.0</v>
      </c>
      <c r="C43" s="7">
        <v>1.0</v>
      </c>
      <c r="D43" s="44">
        <v>108.88</v>
      </c>
      <c r="E43" s="44" t="s">
        <v>109</v>
      </c>
      <c r="F43" s="44">
        <v>131.51</v>
      </c>
      <c r="G43" s="44">
        <v>84.74</v>
      </c>
      <c r="H43" s="51">
        <v>308.893</v>
      </c>
      <c r="I43" s="52">
        <f t="shared" si="15"/>
        <v>309</v>
      </c>
      <c r="J43" s="46" t="s">
        <v>437</v>
      </c>
      <c r="K43" s="46">
        <f t="shared" si="1"/>
        <v>3</v>
      </c>
      <c r="L43" s="46">
        <f t="shared" si="2"/>
        <v>0.933</v>
      </c>
      <c r="M43" s="46">
        <f t="shared" si="3"/>
        <v>5</v>
      </c>
      <c r="N43" s="46">
        <f t="shared" si="4"/>
        <v>0.56</v>
      </c>
      <c r="O43" s="46">
        <f t="shared" si="5"/>
        <v>3</v>
      </c>
      <c r="P43" s="46">
        <f t="shared" si="6"/>
        <v>0.483</v>
      </c>
      <c r="Q43" s="46">
        <f t="array" ref="Q43">IFS(E43="AA",5,E43="BB",4,E43="CC",3,E43="DD",2, E43="EE",1,E43="DDR",1)</f>
        <v>4</v>
      </c>
      <c r="R43" s="46">
        <f t="shared" si="7"/>
        <v>0.76</v>
      </c>
      <c r="S43" s="46">
        <f t="shared" si="8"/>
        <v>5</v>
      </c>
      <c r="T43" s="46">
        <f t="shared" si="9"/>
        <v>0.25</v>
      </c>
      <c r="U43" s="46">
        <f t="shared" si="10"/>
        <v>1</v>
      </c>
      <c r="V43" s="46">
        <f t="shared" si="11"/>
        <v>0.036</v>
      </c>
      <c r="W43" s="46">
        <f t="shared" si="19"/>
        <v>4</v>
      </c>
      <c r="X43" s="46">
        <f t="shared" si="17"/>
        <v>0.268</v>
      </c>
      <c r="Y43" s="46">
        <f t="array" ref="Y43">IFS(
J43="hutan",5,
J43="hutan, sungai",5,
J43="pekarangan",1,
J43="hutan, jalan desa",3,
J43="hutan, kebun sawit",1,
J43="hutan, jalan",3,
J43="sawah",3,
J43="kebun",3,
J43="sawah, kebun",1,
J43="kebun sawit",1,
J43="Lahan GI",5,
J43="kebun sawit, jalan provinsi",1,
J43="lahan kosong",5,
J43="kebun, lahan kosong",3,
J43="jalan desa, kebun sawit",1,
J43="sungai",5
)</f>
        <v>5</v>
      </c>
      <c r="Z43" s="46">
        <f t="shared" si="12"/>
        <v>0.365</v>
      </c>
      <c r="AA43" s="46">
        <f t="shared" si="13"/>
        <v>3.655</v>
      </c>
      <c r="AB43" s="46">
        <f t="shared" si="14"/>
        <v>3</v>
      </c>
      <c r="AD43" s="5">
        <v>1.0</v>
      </c>
    </row>
    <row r="44" ht="14.25" customHeight="1">
      <c r="A44" s="6" t="s">
        <v>162</v>
      </c>
      <c r="B44" s="44">
        <v>1.0</v>
      </c>
      <c r="C44" s="7">
        <v>1.0</v>
      </c>
      <c r="D44" s="44">
        <v>105.81</v>
      </c>
      <c r="E44" s="44" t="s">
        <v>175</v>
      </c>
      <c r="F44" s="44">
        <v>190.0</v>
      </c>
      <c r="G44" s="44">
        <v>209.46</v>
      </c>
      <c r="H44" s="51">
        <v>399.835</v>
      </c>
      <c r="I44" s="52">
        <f t="shared" si="15"/>
        <v>400</v>
      </c>
      <c r="J44" s="46" t="s">
        <v>332</v>
      </c>
      <c r="K44" s="46">
        <f t="shared" si="1"/>
        <v>5</v>
      </c>
      <c r="L44" s="46">
        <f t="shared" si="2"/>
        <v>1.555</v>
      </c>
      <c r="M44" s="46">
        <f t="shared" si="3"/>
        <v>5</v>
      </c>
      <c r="N44" s="46">
        <f t="shared" si="4"/>
        <v>0.56</v>
      </c>
      <c r="O44" s="46">
        <f t="shared" si="5"/>
        <v>3</v>
      </c>
      <c r="P44" s="46">
        <f t="shared" si="6"/>
        <v>0.483</v>
      </c>
      <c r="Q44" s="46">
        <f t="array" ref="Q44">IFS(E44="AA",5,E44="BB",4,E44="CC",3,E44="DD",2, E44="EE",1,E44="DDR",1)</f>
        <v>5</v>
      </c>
      <c r="R44" s="46">
        <f t="shared" si="7"/>
        <v>0.95</v>
      </c>
      <c r="S44" s="46">
        <f t="shared" si="8"/>
        <v>4</v>
      </c>
      <c r="T44" s="46">
        <f t="shared" si="9"/>
        <v>0.2</v>
      </c>
      <c r="U44" s="46">
        <f t="shared" si="10"/>
        <v>1</v>
      </c>
      <c r="V44" s="46">
        <f t="shared" si="11"/>
        <v>0.036</v>
      </c>
      <c r="W44" s="46">
        <f t="shared" si="19"/>
        <v>2</v>
      </c>
      <c r="X44" s="46">
        <f t="shared" si="17"/>
        <v>0.134</v>
      </c>
      <c r="Y44" s="46">
        <f t="array" ref="Y44">IFS(
J44="hutan",5,
J44="hutan, sungai",5,
J44="pekarangan",1,
J44="hutan, jalan desa",3,
J44="hutan, kebun sawit",1,
J44="hutan, jalan",3,
J44="sawah",3,
J44="kebun",3,
J44="sawah, kebun",1,
J44="kebun sawit",1,
J44="Lahan GI",5,
J44="kebun sawit, jalan provinsi",1,
J44="lahan kosong",5,
J44="kebun, lahan kosong",3,
J44="jalan desa, kebun sawit",1,
J44="sungai",5
)</f>
        <v>5</v>
      </c>
      <c r="Z44" s="46">
        <f t="shared" si="12"/>
        <v>0.365</v>
      </c>
      <c r="AA44" s="46">
        <f t="shared" si="13"/>
        <v>4.283</v>
      </c>
      <c r="AB44" s="46">
        <f t="shared" si="14"/>
        <v>4</v>
      </c>
      <c r="AD44" s="5">
        <v>2.0</v>
      </c>
    </row>
    <row r="45" ht="14.25" customHeight="1">
      <c r="A45" s="6" t="s">
        <v>165</v>
      </c>
      <c r="B45" s="44">
        <v>2.0</v>
      </c>
      <c r="C45" s="7">
        <v>1.0</v>
      </c>
      <c r="D45" s="44">
        <v>106.95</v>
      </c>
      <c r="E45" s="44" t="s">
        <v>109</v>
      </c>
      <c r="F45" s="44">
        <v>509.0</v>
      </c>
      <c r="G45" s="44">
        <v>308.76</v>
      </c>
      <c r="H45" s="51">
        <v>312.737</v>
      </c>
      <c r="I45" s="52">
        <f t="shared" si="15"/>
        <v>313</v>
      </c>
      <c r="J45" s="46" t="s">
        <v>332</v>
      </c>
      <c r="K45" s="46">
        <f t="shared" si="1"/>
        <v>3</v>
      </c>
      <c r="L45" s="46">
        <f t="shared" si="2"/>
        <v>0.933</v>
      </c>
      <c r="M45" s="46">
        <f t="shared" si="3"/>
        <v>5</v>
      </c>
      <c r="N45" s="46">
        <f t="shared" si="4"/>
        <v>0.56</v>
      </c>
      <c r="O45" s="46">
        <f t="shared" si="5"/>
        <v>3</v>
      </c>
      <c r="P45" s="46">
        <f t="shared" si="6"/>
        <v>0.483</v>
      </c>
      <c r="Q45" s="46">
        <f t="array" ref="Q45">IFS(E45="AA",5,E45="BB",4,E45="CC",3,E45="DD",2, E45="EE",1,E45="DDR",1)</f>
        <v>4</v>
      </c>
      <c r="R45" s="46">
        <f t="shared" si="7"/>
        <v>0.76</v>
      </c>
      <c r="S45" s="46">
        <f t="shared" si="8"/>
        <v>4</v>
      </c>
      <c r="T45" s="46">
        <f t="shared" si="9"/>
        <v>0.2</v>
      </c>
      <c r="U45" s="46">
        <f t="shared" si="10"/>
        <v>1</v>
      </c>
      <c r="V45" s="46">
        <f t="shared" si="11"/>
        <v>0.036</v>
      </c>
      <c r="W45" s="46">
        <f t="shared" si="19"/>
        <v>4</v>
      </c>
      <c r="X45" s="46">
        <f t="shared" si="17"/>
        <v>0.268</v>
      </c>
      <c r="Y45" s="46">
        <f t="array" ref="Y45">IFS(
J45="hutan",5,
J45="hutan, sungai",5,
J45="pekarangan",1,
J45="hutan, jalan desa",3,
J45="hutan, kebun sawit",1,
J45="hutan, jalan",3,
J45="sawah",3,
J45="kebun",3,
J45="sawah, kebun",1,
J45="kebun sawit",1,
J45="Lahan GI",5,
J45="kebun sawit, jalan provinsi",1,
J45="lahan kosong",5,
J45="kebun, lahan kosong",3,
J45="jalan desa, kebun sawit",1,
J45="sungai",5
)</f>
        <v>5</v>
      </c>
      <c r="Z45" s="46">
        <f t="shared" si="12"/>
        <v>0.365</v>
      </c>
      <c r="AA45" s="46">
        <f t="shared" si="13"/>
        <v>3.605</v>
      </c>
      <c r="AB45" s="46">
        <f t="shared" si="14"/>
        <v>3</v>
      </c>
      <c r="AD45" s="5">
        <v>3.0</v>
      </c>
    </row>
    <row r="46" ht="14.25" customHeight="1">
      <c r="A46" s="6" t="s">
        <v>169</v>
      </c>
      <c r="B46" s="44">
        <v>3.0</v>
      </c>
      <c r="C46" s="7">
        <v>3.0</v>
      </c>
      <c r="D46" s="44">
        <v>109.43</v>
      </c>
      <c r="E46" s="44" t="s">
        <v>132</v>
      </c>
      <c r="F46" s="44">
        <v>787.89</v>
      </c>
      <c r="G46" s="44">
        <v>415.0</v>
      </c>
      <c r="H46" s="51">
        <v>320.956</v>
      </c>
      <c r="I46" s="52">
        <f t="shared" si="15"/>
        <v>321</v>
      </c>
      <c r="J46" s="46" t="s">
        <v>420</v>
      </c>
      <c r="K46" s="46">
        <f t="shared" si="1"/>
        <v>1</v>
      </c>
      <c r="L46" s="46">
        <f t="shared" si="2"/>
        <v>0.311</v>
      </c>
      <c r="M46" s="46">
        <f t="shared" si="3"/>
        <v>1</v>
      </c>
      <c r="N46" s="46">
        <f t="shared" si="4"/>
        <v>0.112</v>
      </c>
      <c r="O46" s="46">
        <f t="shared" si="5"/>
        <v>3</v>
      </c>
      <c r="P46" s="46">
        <f t="shared" si="6"/>
        <v>0.483</v>
      </c>
      <c r="Q46" s="46">
        <f t="array" ref="Q46">IFS(E46="AA",5,E46="BB",4,E46="CC",3,E46="DD",2, E46="EE",1,E46="DDR",1)</f>
        <v>3</v>
      </c>
      <c r="R46" s="46">
        <f t="shared" si="7"/>
        <v>0.57</v>
      </c>
      <c r="S46" s="46">
        <f t="shared" si="8"/>
        <v>3</v>
      </c>
      <c r="T46" s="46">
        <f t="shared" si="9"/>
        <v>0.15</v>
      </c>
      <c r="U46" s="46">
        <f t="shared" si="10"/>
        <v>1</v>
      </c>
      <c r="V46" s="46">
        <f t="shared" si="11"/>
        <v>0.036</v>
      </c>
      <c r="W46" s="46">
        <f t="shared" si="19"/>
        <v>4</v>
      </c>
      <c r="X46" s="46">
        <f t="shared" si="17"/>
        <v>0.268</v>
      </c>
      <c r="Y46" s="46">
        <f t="array" ref="Y46">IFS(
J46="hutan",5,
J46="hutan, sungai",5,
J46="pekarangan",1,
J46="hutan, jalan desa",3,
J46="hutan, kebun sawit",1,
J46="hutan, jalan",3,
J46="sawah",3,
J46="kebun",3,
J46="sawah, kebun",1,
J46="kebun sawit",1,
J46="Lahan GI",5,
J46="kebun sawit, jalan provinsi",1,
J46="lahan kosong",5,
J46="kebun, lahan kosong",3,
J46="jalan desa, kebun sawit",1,
J46="sungai",5
)</f>
        <v>1</v>
      </c>
      <c r="Z46" s="46">
        <f t="shared" si="12"/>
        <v>0.073</v>
      </c>
      <c r="AA46" s="46">
        <f t="shared" si="13"/>
        <v>2.003</v>
      </c>
      <c r="AB46" s="46">
        <f t="shared" si="14"/>
        <v>1</v>
      </c>
    </row>
    <row r="47" ht="14.25" customHeight="1">
      <c r="A47" s="6" t="s">
        <v>172</v>
      </c>
      <c r="B47" s="44">
        <v>1.0</v>
      </c>
      <c r="C47" s="7">
        <v>3.0</v>
      </c>
      <c r="D47" s="44">
        <v>103.43</v>
      </c>
      <c r="E47" s="44" t="s">
        <v>175</v>
      </c>
      <c r="F47" s="44">
        <v>672.0</v>
      </c>
      <c r="G47" s="44">
        <v>448.43</v>
      </c>
      <c r="H47" s="51">
        <v>315.417</v>
      </c>
      <c r="I47" s="52">
        <f t="shared" si="15"/>
        <v>315</v>
      </c>
      <c r="J47" s="46" t="s">
        <v>445</v>
      </c>
      <c r="K47" s="46">
        <f t="shared" si="1"/>
        <v>5</v>
      </c>
      <c r="L47" s="46">
        <f t="shared" si="2"/>
        <v>1.555</v>
      </c>
      <c r="M47" s="46">
        <f t="shared" si="3"/>
        <v>1</v>
      </c>
      <c r="N47" s="46">
        <f t="shared" si="4"/>
        <v>0.112</v>
      </c>
      <c r="O47" s="46">
        <f t="shared" si="5"/>
        <v>3</v>
      </c>
      <c r="P47" s="46">
        <f t="shared" si="6"/>
        <v>0.483</v>
      </c>
      <c r="Q47" s="46">
        <f t="array" ref="Q47">IFS(E47="AA",5,E47="BB",4,E47="CC",3,E47="DD",2, E47="EE",1,E47="DDR",1)</f>
        <v>5</v>
      </c>
      <c r="R47" s="46">
        <f t="shared" si="7"/>
        <v>0.95</v>
      </c>
      <c r="S47" s="46">
        <f t="shared" si="8"/>
        <v>3</v>
      </c>
      <c r="T47" s="46">
        <f t="shared" si="9"/>
        <v>0.15</v>
      </c>
      <c r="U47" s="46">
        <f t="shared" si="10"/>
        <v>1</v>
      </c>
      <c r="V47" s="46">
        <f t="shared" si="11"/>
        <v>0.036</v>
      </c>
      <c r="W47" s="46">
        <f t="shared" si="19"/>
        <v>4</v>
      </c>
      <c r="X47" s="46">
        <f t="shared" si="17"/>
        <v>0.268</v>
      </c>
      <c r="Y47" s="46">
        <f t="array" ref="Y47">IFS(
J47="hutan",5,
J47="hutan, sungai",5,
J47="pekarangan",1,
J47="hutan, jalan desa",3,
J47="hutan, kebun sawit",1,
J47="hutan, jalan",3,
J47="sawah",3,
J47="kebun",3,
J47="sawah, kebun",1,
J47="kebun sawit",1,
J47="Lahan GI",5,
J47="kebun sawit, jalan provinsi",1,
J47="lahan kosong",5,
J47="kebun, lahan kosong",3,
J47="jalan desa, kebun sawit",1,
J47="sungai",5
)</f>
        <v>1</v>
      </c>
      <c r="Z47" s="46">
        <f t="shared" si="12"/>
        <v>0.073</v>
      </c>
      <c r="AA47" s="46">
        <f t="shared" si="13"/>
        <v>3.627</v>
      </c>
      <c r="AB47" s="46">
        <f t="shared" si="14"/>
        <v>3</v>
      </c>
      <c r="AD47" s="5">
        <v>4.0</v>
      </c>
    </row>
    <row r="48" ht="14.25" customHeight="1">
      <c r="A48" s="6" t="s">
        <v>176</v>
      </c>
      <c r="B48" s="44">
        <v>3.0</v>
      </c>
      <c r="C48" s="7">
        <v>3.0</v>
      </c>
      <c r="D48" s="44">
        <v>115.83</v>
      </c>
      <c r="E48" s="44" t="s">
        <v>132</v>
      </c>
      <c r="F48" s="44">
        <v>429.72</v>
      </c>
      <c r="G48" s="44">
        <v>300.77</v>
      </c>
      <c r="H48" s="51">
        <v>379.168</v>
      </c>
      <c r="I48" s="52">
        <f t="shared" si="15"/>
        <v>379</v>
      </c>
      <c r="J48" s="46" t="s">
        <v>445</v>
      </c>
      <c r="K48" s="46">
        <f t="shared" si="1"/>
        <v>1</v>
      </c>
      <c r="L48" s="46">
        <f t="shared" si="2"/>
        <v>0.311</v>
      </c>
      <c r="M48" s="46">
        <f t="shared" si="3"/>
        <v>1</v>
      </c>
      <c r="N48" s="46">
        <f t="shared" si="4"/>
        <v>0.112</v>
      </c>
      <c r="O48" s="46">
        <f t="shared" si="5"/>
        <v>3</v>
      </c>
      <c r="P48" s="46">
        <f t="shared" si="6"/>
        <v>0.483</v>
      </c>
      <c r="Q48" s="46">
        <f t="array" ref="Q48">IFS(E48="AA",5,E48="BB",4,E48="CC",3,E48="DD",2, E48="EE",1,E48="DDR",1)</f>
        <v>3</v>
      </c>
      <c r="R48" s="46">
        <f t="shared" si="7"/>
        <v>0.57</v>
      </c>
      <c r="S48" s="46">
        <f t="shared" si="8"/>
        <v>4</v>
      </c>
      <c r="T48" s="46">
        <f t="shared" si="9"/>
        <v>0.2</v>
      </c>
      <c r="U48" s="46">
        <f t="shared" si="10"/>
        <v>1</v>
      </c>
      <c r="V48" s="46">
        <f t="shared" si="11"/>
        <v>0.036</v>
      </c>
      <c r="W48" s="46">
        <v>2.0</v>
      </c>
      <c r="X48" s="46">
        <f t="shared" si="17"/>
        <v>0.134</v>
      </c>
      <c r="Y48" s="46">
        <f t="array" ref="Y48">IFS(
J48="hutan",5,
J48="hutan, sungai",5,
J48="pekarangan",1,
J48="hutan, jalan desa",3,
J48="hutan, kebun sawit",1,
J48="hutan, jalan",3,
J48="sawah",3,
J48="kebun",3,
J48="sawah, kebun",1,
J48="kebun sawit",1,
J48="Lahan GI",5,
J48="kebun sawit, jalan provinsi",1,
J48="lahan kosong",5,
J48="kebun, lahan kosong",3,
J48="jalan desa, kebun sawit",1,
J48="sungai",5
)</f>
        <v>1</v>
      </c>
      <c r="Z48" s="46">
        <f t="shared" si="12"/>
        <v>0.073</v>
      </c>
      <c r="AA48" s="46">
        <f t="shared" si="13"/>
        <v>1.919</v>
      </c>
      <c r="AB48" s="46">
        <f t="shared" si="14"/>
        <v>1</v>
      </c>
    </row>
    <row r="49" ht="14.25" customHeight="1">
      <c r="A49" s="6" t="s">
        <v>179</v>
      </c>
      <c r="B49" s="44">
        <v>1.0</v>
      </c>
      <c r="C49" s="7">
        <v>3.0</v>
      </c>
      <c r="D49" s="44">
        <v>116.93</v>
      </c>
      <c r="E49" s="44" t="s">
        <v>175</v>
      </c>
      <c r="F49" s="44">
        <v>264.11</v>
      </c>
      <c r="G49" s="44">
        <v>15.0</v>
      </c>
      <c r="H49" s="51">
        <v>419.996</v>
      </c>
      <c r="I49" s="52">
        <f t="shared" si="15"/>
        <v>420</v>
      </c>
      <c r="J49" s="46" t="s">
        <v>445</v>
      </c>
      <c r="K49" s="46">
        <f t="shared" si="1"/>
        <v>5</v>
      </c>
      <c r="L49" s="46">
        <f t="shared" si="2"/>
        <v>1.555</v>
      </c>
      <c r="M49" s="46">
        <f t="shared" si="3"/>
        <v>1</v>
      </c>
      <c r="N49" s="46">
        <f t="shared" si="4"/>
        <v>0.112</v>
      </c>
      <c r="O49" s="46">
        <f t="shared" si="5"/>
        <v>3</v>
      </c>
      <c r="P49" s="46">
        <f t="shared" si="6"/>
        <v>0.483</v>
      </c>
      <c r="Q49" s="46">
        <f t="array" ref="Q49">IFS(E49="AA",5,E49="BB",4,E49="CC",3,E49="DD",2, E49="EE",1,E49="DDR",1)</f>
        <v>5</v>
      </c>
      <c r="R49" s="46">
        <f t="shared" si="7"/>
        <v>0.95</v>
      </c>
      <c r="S49" s="46">
        <f t="shared" si="8"/>
        <v>4</v>
      </c>
      <c r="T49" s="46">
        <f t="shared" si="9"/>
        <v>0.2</v>
      </c>
      <c r="U49" s="46">
        <f t="shared" si="10"/>
        <v>1</v>
      </c>
      <c r="V49" s="46">
        <f t="shared" si="11"/>
        <v>0.036</v>
      </c>
      <c r="W49" s="46">
        <v>2.0</v>
      </c>
      <c r="X49" s="46">
        <f t="shared" si="17"/>
        <v>0.134</v>
      </c>
      <c r="Y49" s="46">
        <f t="array" ref="Y49">IFS(
J49="hutan",5,
J49="hutan, sungai",5,
J49="pekarangan",1,
J49="hutan, jalan desa",3,
J49="hutan, kebun sawit",1,
J49="hutan, jalan",3,
J49="sawah",3,
J49="kebun",3,
J49="sawah, kebun",1,
J49="kebun sawit",1,
J49="Lahan GI",5,
J49="kebun sawit, jalan provinsi",1,
J49="lahan kosong",5,
J49="kebun, lahan kosong",3,
J49="jalan desa, kebun sawit",1,
J49="sungai",5
)</f>
        <v>1</v>
      </c>
      <c r="Z49" s="46">
        <f t="shared" si="12"/>
        <v>0.073</v>
      </c>
      <c r="AA49" s="46">
        <f t="shared" si="13"/>
        <v>3.543</v>
      </c>
      <c r="AB49" s="46">
        <f t="shared" si="14"/>
        <v>3</v>
      </c>
    </row>
    <row r="50" ht="14.25" customHeight="1">
      <c r="A50" s="6" t="s">
        <v>182</v>
      </c>
      <c r="B50" s="44">
        <v>1.0</v>
      </c>
      <c r="C50" s="7">
        <v>3.0</v>
      </c>
      <c r="D50" s="44">
        <v>120.78</v>
      </c>
      <c r="E50" s="44" t="s">
        <v>175</v>
      </c>
      <c r="F50" s="44">
        <v>652.79</v>
      </c>
      <c r="G50" s="44">
        <v>247.96</v>
      </c>
      <c r="H50" s="51">
        <v>380.04</v>
      </c>
      <c r="I50" s="52">
        <f t="shared" si="15"/>
        <v>380</v>
      </c>
      <c r="J50" s="46" t="s">
        <v>445</v>
      </c>
      <c r="K50" s="46">
        <f t="shared" si="1"/>
        <v>5</v>
      </c>
      <c r="L50" s="46">
        <f t="shared" si="2"/>
        <v>1.555</v>
      </c>
      <c r="M50" s="46">
        <f t="shared" si="3"/>
        <v>1</v>
      </c>
      <c r="N50" s="46">
        <f t="shared" si="4"/>
        <v>0.112</v>
      </c>
      <c r="O50" s="46">
        <f t="shared" si="5"/>
        <v>3</v>
      </c>
      <c r="P50" s="46">
        <f t="shared" si="6"/>
        <v>0.483</v>
      </c>
      <c r="Q50" s="46">
        <f t="array" ref="Q50">IFS(E50="AA",5,E50="BB",4,E50="CC",3,E50="DD",2, E50="EE",1,E50="DDR",1)</f>
        <v>5</v>
      </c>
      <c r="R50" s="46">
        <f t="shared" si="7"/>
        <v>0.95</v>
      </c>
      <c r="S50" s="46">
        <f t="shared" si="8"/>
        <v>3</v>
      </c>
      <c r="T50" s="46">
        <f t="shared" si="9"/>
        <v>0.15</v>
      </c>
      <c r="U50" s="46">
        <f t="shared" si="10"/>
        <v>1</v>
      </c>
      <c r="V50" s="46">
        <f t="shared" si="11"/>
        <v>0.036</v>
      </c>
      <c r="W50" s="46">
        <v>2.0</v>
      </c>
      <c r="X50" s="46">
        <f t="shared" si="17"/>
        <v>0.134</v>
      </c>
      <c r="Y50" s="46">
        <f t="array" ref="Y50">IFS(
J50="hutan",5,
J50="hutan, sungai",5,
J50="pekarangan",1,
J50="hutan, jalan desa",3,
J50="hutan, kebun sawit",1,
J50="hutan, jalan",3,
J50="sawah",3,
J50="kebun",3,
J50="sawah, kebun",1,
J50="kebun sawit",1,
J50="Lahan GI",5,
J50="kebun sawit, jalan provinsi",1,
J50="lahan kosong",5,
J50="kebun, lahan kosong",3,
J50="jalan desa, kebun sawit",1,
J50="sungai",5
)</f>
        <v>1</v>
      </c>
      <c r="Z50" s="46">
        <f t="shared" si="12"/>
        <v>0.073</v>
      </c>
      <c r="AA50" s="46">
        <f t="shared" si="13"/>
        <v>3.493</v>
      </c>
      <c r="AB50" s="46">
        <f t="shared" si="14"/>
        <v>3</v>
      </c>
    </row>
    <row r="51" ht="14.25" customHeight="1">
      <c r="A51" s="6" t="s">
        <v>185</v>
      </c>
      <c r="B51" s="44">
        <v>3.0</v>
      </c>
      <c r="C51" s="7">
        <v>3.0</v>
      </c>
      <c r="D51" s="44">
        <v>126.67</v>
      </c>
      <c r="E51" s="44" t="s">
        <v>132</v>
      </c>
      <c r="F51" s="44">
        <v>385.11</v>
      </c>
      <c r="G51" s="44">
        <v>298.59</v>
      </c>
      <c r="H51" s="51">
        <v>460.913</v>
      </c>
      <c r="I51" s="52">
        <f t="shared" si="15"/>
        <v>461</v>
      </c>
      <c r="J51" s="46" t="s">
        <v>445</v>
      </c>
      <c r="K51" s="46">
        <f t="shared" si="1"/>
        <v>1</v>
      </c>
      <c r="L51" s="46">
        <f t="shared" si="2"/>
        <v>0.311</v>
      </c>
      <c r="M51" s="46">
        <f t="shared" si="3"/>
        <v>1</v>
      </c>
      <c r="N51" s="46">
        <f t="shared" si="4"/>
        <v>0.112</v>
      </c>
      <c r="O51" s="46">
        <f t="shared" si="5"/>
        <v>3</v>
      </c>
      <c r="P51" s="46">
        <f t="shared" si="6"/>
        <v>0.483</v>
      </c>
      <c r="Q51" s="46">
        <f t="array" ref="Q51">IFS(E51="AA",5,E51="BB",4,E51="CC",3,E51="DD",2, E51="EE",1,E51="DDR",1)</f>
        <v>3</v>
      </c>
      <c r="R51" s="46">
        <f t="shared" si="7"/>
        <v>0.57</v>
      </c>
      <c r="S51" s="46">
        <f t="shared" si="8"/>
        <v>4</v>
      </c>
      <c r="T51" s="46">
        <f t="shared" si="9"/>
        <v>0.2</v>
      </c>
      <c r="U51" s="46">
        <f t="shared" si="10"/>
        <v>1</v>
      </c>
      <c r="V51" s="46">
        <f t="shared" si="11"/>
        <v>0.036</v>
      </c>
      <c r="W51" s="46">
        <f>MAX(1,MIN(5,
ROUND(5-(ABS(H51-275)/(275-100)*4),0)
))</f>
        <v>1</v>
      </c>
      <c r="X51" s="46">
        <f t="shared" si="17"/>
        <v>0.067</v>
      </c>
      <c r="Y51" s="46">
        <f t="array" ref="Y51">IFS(
J51="hutan",5,
J51="hutan, sungai",5,
J51="pekarangan",1,
J51="hutan, jalan desa",3,
J51="hutan, kebun sawit",1,
J51="hutan, jalan",3,
J51="sawah",3,
J51="kebun",3,
J51="sawah, kebun",1,
J51="kebun sawit",1,
J51="Lahan GI",5,
J51="kebun sawit, jalan provinsi",1,
J51="lahan kosong",5,
J51="kebun, lahan kosong",3,
J51="jalan desa, kebun sawit",1,
J51="sungai",5
)</f>
        <v>1</v>
      </c>
      <c r="Z51" s="46">
        <f t="shared" si="12"/>
        <v>0.073</v>
      </c>
      <c r="AA51" s="46">
        <f t="shared" si="13"/>
        <v>1.852</v>
      </c>
      <c r="AB51" s="46">
        <f t="shared" si="14"/>
        <v>1</v>
      </c>
    </row>
    <row r="52" ht="14.25" customHeight="1">
      <c r="A52" s="6" t="s">
        <v>188</v>
      </c>
      <c r="B52" s="44">
        <v>1.0</v>
      </c>
      <c r="C52" s="7">
        <v>3.0</v>
      </c>
      <c r="D52" s="44">
        <v>121.15</v>
      </c>
      <c r="E52" s="44" t="s">
        <v>175</v>
      </c>
      <c r="F52" s="44">
        <v>340.2</v>
      </c>
      <c r="G52" s="44">
        <v>50.93</v>
      </c>
      <c r="H52" s="51">
        <v>299.469</v>
      </c>
      <c r="I52" s="52">
        <f t="shared" si="15"/>
        <v>299</v>
      </c>
      <c r="J52" s="46" t="s">
        <v>445</v>
      </c>
      <c r="K52" s="46">
        <f t="shared" si="1"/>
        <v>5</v>
      </c>
      <c r="L52" s="46">
        <f t="shared" si="2"/>
        <v>1.555</v>
      </c>
      <c r="M52" s="46">
        <f t="shared" si="3"/>
        <v>1</v>
      </c>
      <c r="N52" s="46">
        <f t="shared" si="4"/>
        <v>0.112</v>
      </c>
      <c r="O52" s="46">
        <f t="shared" si="5"/>
        <v>3</v>
      </c>
      <c r="P52" s="46">
        <f t="shared" si="6"/>
        <v>0.483</v>
      </c>
      <c r="Q52" s="46">
        <f t="array" ref="Q52">IFS(E52="AA",5,E52="BB",4,E52="CC",3,E52="DD",2, E52="EE",1,E52="DDR",1)</f>
        <v>5</v>
      </c>
      <c r="R52" s="46">
        <f t="shared" si="7"/>
        <v>0.95</v>
      </c>
      <c r="S52" s="46">
        <f t="shared" si="8"/>
        <v>4</v>
      </c>
      <c r="T52" s="46">
        <f t="shared" si="9"/>
        <v>0.2</v>
      </c>
      <c r="U52" s="46">
        <f t="shared" si="10"/>
        <v>1</v>
      </c>
      <c r="V52" s="46">
        <f t="shared" si="11"/>
        <v>0.036</v>
      </c>
      <c r="W52" s="46">
        <v>5.0</v>
      </c>
      <c r="X52" s="46">
        <f t="shared" si="17"/>
        <v>0.335</v>
      </c>
      <c r="Y52" s="46">
        <f t="array" ref="Y52">IFS(
J52="hutan",5,
J52="hutan, sungai",5,
J52="pekarangan",1,
J52="hutan, jalan desa",3,
J52="hutan, kebun sawit",1,
J52="hutan, jalan",3,
J52="sawah",3,
J52="kebun",3,
J52="sawah, kebun",1,
J52="kebun sawit",1,
J52="Lahan GI",5,
J52="kebun sawit, jalan provinsi",1,
J52="lahan kosong",5,
J52="kebun, lahan kosong",3,
J52="jalan desa, kebun sawit",1,
J52="sungai",5
)</f>
        <v>1</v>
      </c>
      <c r="Z52" s="46">
        <f t="shared" si="12"/>
        <v>0.073</v>
      </c>
      <c r="AA52" s="46">
        <f t="shared" si="13"/>
        <v>3.744</v>
      </c>
      <c r="AB52" s="46">
        <f t="shared" si="14"/>
        <v>4</v>
      </c>
    </row>
    <row r="53" ht="14.25" customHeight="1">
      <c r="A53" s="6" t="s">
        <v>191</v>
      </c>
      <c r="B53" s="44">
        <v>1.0</v>
      </c>
      <c r="C53" s="7">
        <v>2.0</v>
      </c>
      <c r="D53" s="44">
        <v>122.95</v>
      </c>
      <c r="E53" s="44" t="s">
        <v>175</v>
      </c>
      <c r="F53" s="44">
        <v>120.0</v>
      </c>
      <c r="G53" s="44">
        <v>200.0</v>
      </c>
      <c r="H53" s="51">
        <v>379.123</v>
      </c>
      <c r="I53" s="52">
        <f t="shared" si="15"/>
        <v>379</v>
      </c>
      <c r="J53" s="46" t="s">
        <v>448</v>
      </c>
      <c r="K53" s="46">
        <f t="shared" si="1"/>
        <v>5</v>
      </c>
      <c r="L53" s="46">
        <f t="shared" si="2"/>
        <v>1.555</v>
      </c>
      <c r="M53" s="46">
        <f t="shared" si="3"/>
        <v>3</v>
      </c>
      <c r="N53" s="46">
        <f t="shared" si="4"/>
        <v>0.336</v>
      </c>
      <c r="O53" s="46">
        <f t="shared" si="5"/>
        <v>3</v>
      </c>
      <c r="P53" s="46">
        <f t="shared" si="6"/>
        <v>0.483</v>
      </c>
      <c r="Q53" s="46">
        <f t="array" ref="Q53">IFS(E53="AA",5,E53="BB",4,E53="CC",3,E53="DD",2, E53="EE",1,E53="DDR",1)</f>
        <v>5</v>
      </c>
      <c r="R53" s="46">
        <f t="shared" si="7"/>
        <v>0.95</v>
      </c>
      <c r="S53" s="46">
        <f t="shared" si="8"/>
        <v>5</v>
      </c>
      <c r="T53" s="46">
        <f t="shared" si="9"/>
        <v>0.25</v>
      </c>
      <c r="U53" s="46">
        <f t="shared" si="10"/>
        <v>1</v>
      </c>
      <c r="V53" s="46">
        <f t="shared" si="11"/>
        <v>0.036</v>
      </c>
      <c r="W53" s="46">
        <f t="shared" ref="W53:W68" si="20">MAX(1,MIN(5,
ROUND(5-(ABS(H53-275)/(275-100)*4),0)
))</f>
        <v>3</v>
      </c>
      <c r="X53" s="46">
        <f t="shared" si="17"/>
        <v>0.201</v>
      </c>
      <c r="Y53" s="46">
        <f t="array" ref="Y53">IFS(
J53="hutan",5,
J53="hutan, sungai",5,
J53="pekarangan",1,
J53="hutan, jalan desa",3,
J53="hutan, kebun sawit",1,
J53="hutan, jalan",3,
J53="sawah",3,
J53="kebun",3,
J53="sawah, kebun",1,
J53="kebun sawit",1,
J53="Lahan GI",5,
J53="kebun sawit, jalan provinsi",1,
J53="lahan kosong",5,
J53="kebun, lahan kosong",3,
J53="jalan desa, kebun sawit",1,
J53="sungai",5
)</f>
        <v>3</v>
      </c>
      <c r="Z53" s="46">
        <f t="shared" si="12"/>
        <v>0.219</v>
      </c>
      <c r="AA53" s="46">
        <f t="shared" si="13"/>
        <v>4.03</v>
      </c>
      <c r="AB53" s="46">
        <f t="shared" si="14"/>
        <v>4</v>
      </c>
    </row>
    <row r="54" ht="14.25" customHeight="1">
      <c r="A54" s="6" t="s">
        <v>194</v>
      </c>
      <c r="B54" s="44">
        <v>1.0</v>
      </c>
      <c r="C54" s="7">
        <v>2.0</v>
      </c>
      <c r="D54" s="44">
        <v>126.99</v>
      </c>
      <c r="E54" s="44" t="s">
        <v>175</v>
      </c>
      <c r="F54" s="44">
        <v>95.06</v>
      </c>
      <c r="G54" s="44">
        <v>315.0</v>
      </c>
      <c r="H54" s="51">
        <v>372.013</v>
      </c>
      <c r="I54" s="52">
        <f t="shared" si="15"/>
        <v>372</v>
      </c>
      <c r="J54" s="46" t="s">
        <v>448</v>
      </c>
      <c r="K54" s="46">
        <f t="shared" si="1"/>
        <v>5</v>
      </c>
      <c r="L54" s="46">
        <f t="shared" si="2"/>
        <v>1.555</v>
      </c>
      <c r="M54" s="46">
        <f t="shared" si="3"/>
        <v>3</v>
      </c>
      <c r="N54" s="46">
        <f t="shared" si="4"/>
        <v>0.336</v>
      </c>
      <c r="O54" s="46">
        <f t="shared" si="5"/>
        <v>3</v>
      </c>
      <c r="P54" s="46">
        <f t="shared" si="6"/>
        <v>0.483</v>
      </c>
      <c r="Q54" s="46">
        <f t="array" ref="Q54">IFS(E54="AA",5,E54="BB",4,E54="CC",3,E54="DD",2, E54="EE",1,E54="DDR",1)</f>
        <v>5</v>
      </c>
      <c r="R54" s="46">
        <f t="shared" si="7"/>
        <v>0.95</v>
      </c>
      <c r="S54" s="46">
        <f t="shared" si="8"/>
        <v>5</v>
      </c>
      <c r="T54" s="46">
        <f t="shared" si="9"/>
        <v>0.25</v>
      </c>
      <c r="U54" s="46">
        <f t="shared" si="10"/>
        <v>1</v>
      </c>
      <c r="V54" s="46">
        <f t="shared" si="11"/>
        <v>0.036</v>
      </c>
      <c r="W54" s="46">
        <f t="shared" si="20"/>
        <v>3</v>
      </c>
      <c r="X54" s="46">
        <f t="shared" si="17"/>
        <v>0.201</v>
      </c>
      <c r="Y54" s="46">
        <f t="array" ref="Y54">IFS(
J54="hutan",5,
J54="hutan, sungai",5,
J54="pekarangan",1,
J54="hutan, jalan desa",3,
J54="hutan, kebun sawit",1,
J54="hutan, jalan",3,
J54="sawah",3,
J54="kebun",3,
J54="sawah, kebun",1,
J54="kebun sawit",1,
J54="Lahan GI",5,
J54="kebun sawit, jalan provinsi",1,
J54="lahan kosong",5,
J54="kebun, lahan kosong",3,
J54="jalan desa, kebun sawit",1,
J54="sungai",5
)</f>
        <v>3</v>
      </c>
      <c r="Z54" s="46">
        <f t="shared" si="12"/>
        <v>0.219</v>
      </c>
      <c r="AA54" s="46">
        <f t="shared" si="13"/>
        <v>4.03</v>
      </c>
      <c r="AB54" s="46">
        <f t="shared" si="14"/>
        <v>4</v>
      </c>
    </row>
    <row r="55" ht="14.25" customHeight="1">
      <c r="A55" s="6" t="s">
        <v>197</v>
      </c>
      <c r="B55" s="44">
        <v>1.0</v>
      </c>
      <c r="C55" s="7">
        <v>2.0</v>
      </c>
      <c r="D55" s="44">
        <v>133.79</v>
      </c>
      <c r="E55" s="44" t="s">
        <v>175</v>
      </c>
      <c r="F55" s="44">
        <v>119.57</v>
      </c>
      <c r="G55" s="44">
        <v>2296.28</v>
      </c>
      <c r="H55" s="51">
        <v>391.003</v>
      </c>
      <c r="I55" s="52">
        <f t="shared" si="15"/>
        <v>391</v>
      </c>
      <c r="J55" s="46" t="s">
        <v>450</v>
      </c>
      <c r="K55" s="46">
        <f t="shared" si="1"/>
        <v>5</v>
      </c>
      <c r="L55" s="46">
        <f t="shared" si="2"/>
        <v>1.555</v>
      </c>
      <c r="M55" s="46">
        <f t="shared" si="3"/>
        <v>3</v>
      </c>
      <c r="N55" s="46">
        <f t="shared" si="4"/>
        <v>0.336</v>
      </c>
      <c r="O55" s="46">
        <f t="shared" si="5"/>
        <v>3</v>
      </c>
      <c r="P55" s="46">
        <f t="shared" si="6"/>
        <v>0.483</v>
      </c>
      <c r="Q55" s="46">
        <f t="array" ref="Q55">IFS(E55="AA",5,E55="BB",4,E55="CC",3,E55="DD",2, E55="EE",1,E55="DDR",1)</f>
        <v>5</v>
      </c>
      <c r="R55" s="46">
        <f t="shared" si="7"/>
        <v>0.95</v>
      </c>
      <c r="S55" s="46">
        <f t="shared" si="8"/>
        <v>5</v>
      </c>
      <c r="T55" s="46">
        <f t="shared" si="9"/>
        <v>0.25</v>
      </c>
      <c r="U55" s="46">
        <f t="shared" si="10"/>
        <v>4</v>
      </c>
      <c r="V55" s="46">
        <f t="shared" si="11"/>
        <v>0.144</v>
      </c>
      <c r="W55" s="46">
        <f t="shared" si="20"/>
        <v>2</v>
      </c>
      <c r="X55" s="46">
        <f t="shared" si="17"/>
        <v>0.134</v>
      </c>
      <c r="Y55" s="46">
        <v>1.0</v>
      </c>
      <c r="Z55" s="46">
        <f t="shared" si="12"/>
        <v>0.073</v>
      </c>
      <c r="AA55" s="46">
        <f t="shared" si="13"/>
        <v>3.925</v>
      </c>
      <c r="AB55" s="46">
        <f t="shared" si="14"/>
        <v>4</v>
      </c>
    </row>
    <row r="56" ht="14.25" customHeight="1">
      <c r="A56" s="6" t="s">
        <v>200</v>
      </c>
      <c r="B56" s="44">
        <v>1.0</v>
      </c>
      <c r="C56" s="7">
        <v>3.0</v>
      </c>
      <c r="D56" s="44">
        <v>140.67</v>
      </c>
      <c r="E56" s="44" t="s">
        <v>175</v>
      </c>
      <c r="F56" s="44">
        <v>182.8</v>
      </c>
      <c r="G56" s="44">
        <v>1953.63</v>
      </c>
      <c r="H56" s="51">
        <v>400.823</v>
      </c>
      <c r="I56" s="52">
        <f t="shared" si="15"/>
        <v>401</v>
      </c>
      <c r="J56" s="46" t="s">
        <v>488</v>
      </c>
      <c r="K56" s="46">
        <f t="shared" si="1"/>
        <v>5</v>
      </c>
      <c r="L56" s="46">
        <f t="shared" si="2"/>
        <v>1.555</v>
      </c>
      <c r="M56" s="46">
        <f t="shared" si="3"/>
        <v>1</v>
      </c>
      <c r="N56" s="46">
        <f t="shared" si="4"/>
        <v>0.112</v>
      </c>
      <c r="O56" s="46">
        <f t="shared" si="5"/>
        <v>3</v>
      </c>
      <c r="P56" s="46">
        <f t="shared" si="6"/>
        <v>0.483</v>
      </c>
      <c r="Q56" s="46">
        <f t="array" ref="Q56">IFS(E56="AA",5,E56="BB",4,E56="CC",3,E56="DD",2, E56="EE",1,E56="DDR",1)</f>
        <v>5</v>
      </c>
      <c r="R56" s="46">
        <f t="shared" si="7"/>
        <v>0.95</v>
      </c>
      <c r="S56" s="46">
        <f t="shared" si="8"/>
        <v>4</v>
      </c>
      <c r="T56" s="46">
        <f t="shared" si="9"/>
        <v>0.2</v>
      </c>
      <c r="U56" s="46">
        <f t="shared" si="10"/>
        <v>3</v>
      </c>
      <c r="V56" s="46">
        <f t="shared" si="11"/>
        <v>0.108</v>
      </c>
      <c r="W56" s="46">
        <f t="shared" si="20"/>
        <v>2</v>
      </c>
      <c r="X56" s="46">
        <f t="shared" si="17"/>
        <v>0.134</v>
      </c>
      <c r="Y56" s="46">
        <v>1.0</v>
      </c>
      <c r="Z56" s="46">
        <f t="shared" si="12"/>
        <v>0.073</v>
      </c>
      <c r="AA56" s="46">
        <f t="shared" si="13"/>
        <v>3.615</v>
      </c>
      <c r="AB56" s="46">
        <f t="shared" si="14"/>
        <v>3</v>
      </c>
    </row>
    <row r="57" ht="14.25" customHeight="1">
      <c r="A57" s="6" t="s">
        <v>203</v>
      </c>
      <c r="B57" s="44">
        <v>1.0</v>
      </c>
      <c r="C57" s="7">
        <v>3.0</v>
      </c>
      <c r="D57" s="44">
        <v>145.69</v>
      </c>
      <c r="E57" s="44" t="s">
        <v>175</v>
      </c>
      <c r="F57" s="44">
        <v>193.17</v>
      </c>
      <c r="G57" s="44">
        <v>1417.18</v>
      </c>
      <c r="H57" s="51">
        <v>306.171</v>
      </c>
      <c r="I57" s="52">
        <f t="shared" si="15"/>
        <v>306</v>
      </c>
      <c r="J57" s="46" t="s">
        <v>452</v>
      </c>
      <c r="K57" s="46">
        <f t="shared" si="1"/>
        <v>5</v>
      </c>
      <c r="L57" s="46">
        <f t="shared" si="2"/>
        <v>1.555</v>
      </c>
      <c r="M57" s="46">
        <f t="shared" si="3"/>
        <v>1</v>
      </c>
      <c r="N57" s="46">
        <f t="shared" si="4"/>
        <v>0.112</v>
      </c>
      <c r="O57" s="46">
        <f t="shared" si="5"/>
        <v>3</v>
      </c>
      <c r="P57" s="46">
        <f t="shared" si="6"/>
        <v>0.483</v>
      </c>
      <c r="Q57" s="46">
        <f t="array" ref="Q57">IFS(E57="AA",5,E57="BB",4,E57="CC",3,E57="DD",2, E57="EE",1,E57="DDR",1)</f>
        <v>5</v>
      </c>
      <c r="R57" s="46">
        <f t="shared" si="7"/>
        <v>0.95</v>
      </c>
      <c r="S57" s="46">
        <f t="shared" si="8"/>
        <v>4</v>
      </c>
      <c r="T57" s="46">
        <f t="shared" si="9"/>
        <v>0.2</v>
      </c>
      <c r="U57" s="46">
        <f t="shared" si="10"/>
        <v>3</v>
      </c>
      <c r="V57" s="46">
        <f t="shared" si="11"/>
        <v>0.108</v>
      </c>
      <c r="W57" s="46">
        <f t="shared" si="20"/>
        <v>4</v>
      </c>
      <c r="X57" s="46">
        <f t="shared" si="17"/>
        <v>0.268</v>
      </c>
      <c r="Y57" s="46">
        <v>1.0</v>
      </c>
      <c r="Z57" s="46">
        <f t="shared" si="12"/>
        <v>0.073</v>
      </c>
      <c r="AA57" s="46">
        <f t="shared" si="13"/>
        <v>3.749</v>
      </c>
      <c r="AB57" s="46">
        <f t="shared" si="14"/>
        <v>4</v>
      </c>
    </row>
    <row r="58" ht="14.25" customHeight="1">
      <c r="A58" s="6" t="s">
        <v>206</v>
      </c>
      <c r="B58" s="44">
        <v>1.0</v>
      </c>
      <c r="C58" s="7">
        <v>3.0</v>
      </c>
      <c r="D58" s="44">
        <v>154.16</v>
      </c>
      <c r="E58" s="44" t="s">
        <v>175</v>
      </c>
      <c r="F58" s="44">
        <v>272.22</v>
      </c>
      <c r="G58" s="44">
        <v>1113.09</v>
      </c>
      <c r="H58" s="51">
        <v>363.771</v>
      </c>
      <c r="I58" s="52">
        <f t="shared" si="15"/>
        <v>364</v>
      </c>
      <c r="J58" s="46" t="s">
        <v>455</v>
      </c>
      <c r="K58" s="46">
        <f t="shared" si="1"/>
        <v>5</v>
      </c>
      <c r="L58" s="46">
        <f t="shared" si="2"/>
        <v>1.555</v>
      </c>
      <c r="M58" s="46">
        <f t="shared" si="3"/>
        <v>1</v>
      </c>
      <c r="N58" s="46">
        <f t="shared" si="4"/>
        <v>0.112</v>
      </c>
      <c r="O58" s="46">
        <f t="shared" si="5"/>
        <v>3</v>
      </c>
      <c r="P58" s="46">
        <f t="shared" si="6"/>
        <v>0.483</v>
      </c>
      <c r="Q58" s="46">
        <f t="array" ref="Q58">IFS(E58="AA",5,E58="BB",4,E58="CC",3,E58="DD",2, E58="EE",1,E58="DDR",1)</f>
        <v>5</v>
      </c>
      <c r="R58" s="46">
        <f t="shared" si="7"/>
        <v>0.95</v>
      </c>
      <c r="S58" s="46">
        <f t="shared" si="8"/>
        <v>4</v>
      </c>
      <c r="T58" s="46">
        <f t="shared" si="9"/>
        <v>0.2</v>
      </c>
      <c r="U58" s="46">
        <f t="shared" si="10"/>
        <v>2</v>
      </c>
      <c r="V58" s="46">
        <f t="shared" si="11"/>
        <v>0.072</v>
      </c>
      <c r="W58" s="46">
        <f t="shared" si="20"/>
        <v>3</v>
      </c>
      <c r="X58" s="46">
        <f t="shared" si="17"/>
        <v>0.201</v>
      </c>
      <c r="Y58" s="46">
        <f t="array" ref="Y58">IFS(
J58="hutan",5,
J58="hutan, sungai",5,
J58="pekarangan",1,
J58="hutan, jalan desa",3,
J58="hutan, kebun sawit",1,
J58="hutan, jalan",3,
J58="sawah",3,
J58="kebun",3,
J58="sawah, kebun",1,
J58="kebun sawit",1,
J58="Lahan GI",5,
J58="kebun sawit, jalan provinsi",1,
J58="lahan kosong",5,
J58="kebun, lahan kosong",3,
J58="jalan desa, kebun sawit",1,
J58="sungai",5
)</f>
        <v>1</v>
      </c>
      <c r="Z58" s="46">
        <f t="shared" si="12"/>
        <v>0.073</v>
      </c>
      <c r="AA58" s="46">
        <f t="shared" si="13"/>
        <v>3.646</v>
      </c>
      <c r="AB58" s="46">
        <f t="shared" si="14"/>
        <v>3</v>
      </c>
    </row>
    <row r="59" ht="14.25" customHeight="1">
      <c r="A59" s="6" t="s">
        <v>209</v>
      </c>
      <c r="B59" s="44">
        <v>2.0</v>
      </c>
      <c r="C59" s="7">
        <v>3.0</v>
      </c>
      <c r="D59" s="44">
        <v>162.67</v>
      </c>
      <c r="E59" s="44" t="s">
        <v>109</v>
      </c>
      <c r="F59" s="44">
        <v>246.59</v>
      </c>
      <c r="G59" s="44">
        <v>814.57</v>
      </c>
      <c r="H59" s="51">
        <v>333.846</v>
      </c>
      <c r="I59" s="52">
        <f t="shared" si="15"/>
        <v>334</v>
      </c>
      <c r="J59" s="46" t="s">
        <v>445</v>
      </c>
      <c r="K59" s="46">
        <f t="shared" si="1"/>
        <v>3</v>
      </c>
      <c r="L59" s="46">
        <f t="shared" si="2"/>
        <v>0.933</v>
      </c>
      <c r="M59" s="46">
        <f t="shared" si="3"/>
        <v>1</v>
      </c>
      <c r="N59" s="46">
        <f t="shared" si="4"/>
        <v>0.112</v>
      </c>
      <c r="O59" s="46">
        <f t="shared" si="5"/>
        <v>2</v>
      </c>
      <c r="P59" s="46">
        <f t="shared" si="6"/>
        <v>0.322</v>
      </c>
      <c r="Q59" s="46">
        <f t="array" ref="Q59">IFS(E59="AA",5,E59="BB",4,E59="CC",3,E59="DD",2, E59="EE",1,E59="DDR",1)</f>
        <v>4</v>
      </c>
      <c r="R59" s="46">
        <f t="shared" si="7"/>
        <v>0.76</v>
      </c>
      <c r="S59" s="46">
        <f t="shared" si="8"/>
        <v>4</v>
      </c>
      <c r="T59" s="46">
        <f t="shared" si="9"/>
        <v>0.2</v>
      </c>
      <c r="U59" s="46">
        <f t="shared" si="10"/>
        <v>2</v>
      </c>
      <c r="V59" s="46">
        <f t="shared" si="11"/>
        <v>0.072</v>
      </c>
      <c r="W59" s="46">
        <f t="shared" si="20"/>
        <v>4</v>
      </c>
      <c r="X59" s="46">
        <f t="shared" si="17"/>
        <v>0.268</v>
      </c>
      <c r="Y59" s="46">
        <f t="array" ref="Y59">IFS(
J59="hutan",5,
J59="hutan, sungai",5,
J59="pekarangan",1,
J59="hutan, jalan desa",3,
J59="hutan, kebun sawit",1,
J59="hutan, jalan",3,
J59="sawah",3,
J59="kebun",3,
J59="sawah, kebun",1,
J59="kebun sawit",1,
J59="Lahan GI",5,
J59="kebun sawit, jalan provinsi",1,
J59="lahan kosong",5,
J59="kebun, lahan kosong",3,
J59="jalan desa, kebun sawit",1,
J59="sungai",5
)</f>
        <v>1</v>
      </c>
      <c r="Z59" s="46">
        <f t="shared" si="12"/>
        <v>0.073</v>
      </c>
      <c r="AA59" s="46">
        <f t="shared" si="13"/>
        <v>2.74</v>
      </c>
      <c r="AB59" s="46">
        <f t="shared" si="14"/>
        <v>2</v>
      </c>
    </row>
    <row r="60" ht="14.25" customHeight="1">
      <c r="A60" s="6" t="s">
        <v>212</v>
      </c>
      <c r="B60" s="44">
        <v>2.0</v>
      </c>
      <c r="C60" s="7">
        <v>3.0</v>
      </c>
      <c r="D60" s="44">
        <v>172.83</v>
      </c>
      <c r="E60" s="44" t="s">
        <v>109</v>
      </c>
      <c r="F60" s="44">
        <v>552.56</v>
      </c>
      <c r="G60" s="44">
        <v>482.45</v>
      </c>
      <c r="H60" s="51">
        <v>412.873</v>
      </c>
      <c r="I60" s="52">
        <f t="shared" si="15"/>
        <v>413</v>
      </c>
      <c r="J60" s="46" t="s">
        <v>445</v>
      </c>
      <c r="K60" s="46">
        <f t="shared" si="1"/>
        <v>3</v>
      </c>
      <c r="L60" s="46">
        <f t="shared" si="2"/>
        <v>0.933</v>
      </c>
      <c r="M60" s="46">
        <f t="shared" si="3"/>
        <v>1</v>
      </c>
      <c r="N60" s="46">
        <f t="shared" si="4"/>
        <v>0.112</v>
      </c>
      <c r="O60" s="46">
        <f t="shared" si="5"/>
        <v>2</v>
      </c>
      <c r="P60" s="46">
        <f t="shared" si="6"/>
        <v>0.322</v>
      </c>
      <c r="Q60" s="46">
        <f t="array" ref="Q60">IFS(E60="AA",5,E60="BB",4,E60="CC",3,E60="DD",2, E60="EE",1,E60="DDR",1)</f>
        <v>4</v>
      </c>
      <c r="R60" s="46">
        <f t="shared" si="7"/>
        <v>0.76</v>
      </c>
      <c r="S60" s="46">
        <f t="shared" si="8"/>
        <v>3</v>
      </c>
      <c r="T60" s="46">
        <f t="shared" si="9"/>
        <v>0.15</v>
      </c>
      <c r="U60" s="46">
        <f t="shared" si="10"/>
        <v>2</v>
      </c>
      <c r="V60" s="46">
        <f t="shared" si="11"/>
        <v>0.072</v>
      </c>
      <c r="W60" s="46">
        <f t="shared" si="20"/>
        <v>2</v>
      </c>
      <c r="X60" s="46">
        <f t="shared" si="17"/>
        <v>0.134</v>
      </c>
      <c r="Y60" s="46">
        <f t="array" ref="Y60">IFS(
J60="hutan",5,
J60="hutan, sungai",5,
J60="pekarangan",1,
J60="hutan, jalan desa",3,
J60="hutan, kebun sawit",1,
J60="hutan, jalan",3,
J60="sawah",3,
J60="kebun",3,
J60="sawah, kebun",1,
J60="kebun sawit",1,
J60="Lahan GI",5,
J60="kebun sawit, jalan provinsi",1,
J60="lahan kosong",5,
J60="kebun, lahan kosong",3,
J60="jalan desa, kebun sawit",1,
J60="sungai",5
)</f>
        <v>1</v>
      </c>
      <c r="Z60" s="46">
        <f t="shared" si="12"/>
        <v>0.073</v>
      </c>
      <c r="AA60" s="46">
        <f t="shared" si="13"/>
        <v>2.556</v>
      </c>
      <c r="AB60" s="46">
        <f t="shared" si="14"/>
        <v>2</v>
      </c>
    </row>
    <row r="61" ht="14.25" customHeight="1">
      <c r="A61" s="6" t="s">
        <v>215</v>
      </c>
      <c r="B61" s="44">
        <v>1.0</v>
      </c>
      <c r="C61" s="7">
        <v>3.0</v>
      </c>
      <c r="D61" s="44">
        <v>169.52</v>
      </c>
      <c r="E61" s="44" t="s">
        <v>175</v>
      </c>
      <c r="F61" s="44">
        <v>910.33</v>
      </c>
      <c r="G61" s="44">
        <v>100.75</v>
      </c>
      <c r="H61" s="51">
        <v>399.995</v>
      </c>
      <c r="I61" s="52">
        <f t="shared" si="15"/>
        <v>400</v>
      </c>
      <c r="J61" s="46" t="s">
        <v>445</v>
      </c>
      <c r="K61" s="46">
        <f t="shared" si="1"/>
        <v>5</v>
      </c>
      <c r="L61" s="46">
        <f t="shared" si="2"/>
        <v>1.555</v>
      </c>
      <c r="M61" s="46">
        <f t="shared" si="3"/>
        <v>1</v>
      </c>
      <c r="N61" s="46">
        <f t="shared" si="4"/>
        <v>0.112</v>
      </c>
      <c r="O61" s="46">
        <f t="shared" si="5"/>
        <v>2</v>
      </c>
      <c r="P61" s="46">
        <f t="shared" si="6"/>
        <v>0.322</v>
      </c>
      <c r="Q61" s="46">
        <f t="array" ref="Q61">IFS(E61="AA",5,E61="BB",4,E61="CC",3,E61="DD",2, E61="EE",1,E61="DDR",1)</f>
        <v>5</v>
      </c>
      <c r="R61" s="46">
        <f t="shared" si="7"/>
        <v>0.95</v>
      </c>
      <c r="S61" s="46">
        <f t="shared" si="8"/>
        <v>2</v>
      </c>
      <c r="T61" s="46">
        <f t="shared" si="9"/>
        <v>0.1</v>
      </c>
      <c r="U61" s="46">
        <f t="shared" si="10"/>
        <v>1</v>
      </c>
      <c r="V61" s="46">
        <f t="shared" si="11"/>
        <v>0.036</v>
      </c>
      <c r="W61" s="46">
        <f t="shared" si="20"/>
        <v>2</v>
      </c>
      <c r="X61" s="46">
        <f t="shared" si="17"/>
        <v>0.134</v>
      </c>
      <c r="Y61" s="46">
        <f t="array" ref="Y61">IFS(
J61="hutan",5,
J61="hutan, sungai",5,
J61="pekarangan",1,
J61="hutan, jalan desa",3,
J61="hutan, kebun sawit",1,
J61="hutan, jalan",3,
J61="sawah",3,
J61="kebun",3,
J61="sawah, kebun",1,
J61="kebun sawit",1,
J61="Lahan GI",5,
J61="kebun sawit, jalan provinsi",1,
J61="lahan kosong",5,
J61="kebun, lahan kosong",3,
J61="jalan desa, kebun sawit",1,
J61="sungai",5
)</f>
        <v>1</v>
      </c>
      <c r="Z61" s="46">
        <f t="shared" si="12"/>
        <v>0.073</v>
      </c>
      <c r="AA61" s="46">
        <f t="shared" si="13"/>
        <v>3.282</v>
      </c>
      <c r="AB61" s="46">
        <f t="shared" si="14"/>
        <v>3</v>
      </c>
    </row>
    <row r="62" ht="14.25" customHeight="1">
      <c r="A62" s="6" t="s">
        <v>219</v>
      </c>
      <c r="B62" s="44">
        <v>1.0</v>
      </c>
      <c r="C62" s="7">
        <v>1.0</v>
      </c>
      <c r="D62" s="44">
        <v>173.22</v>
      </c>
      <c r="E62" s="44" t="s">
        <v>175</v>
      </c>
      <c r="F62" s="44">
        <v>893.63</v>
      </c>
      <c r="G62" s="44">
        <v>240.12</v>
      </c>
      <c r="H62" s="51">
        <v>347.98</v>
      </c>
      <c r="I62" s="52">
        <f t="shared" si="15"/>
        <v>348</v>
      </c>
      <c r="J62" s="46" t="s">
        <v>462</v>
      </c>
      <c r="K62" s="46">
        <f t="shared" si="1"/>
        <v>5</v>
      </c>
      <c r="L62" s="46">
        <f t="shared" si="2"/>
        <v>1.555</v>
      </c>
      <c r="M62" s="46">
        <f t="shared" si="3"/>
        <v>5</v>
      </c>
      <c r="N62" s="46">
        <f t="shared" si="4"/>
        <v>0.56</v>
      </c>
      <c r="O62" s="46">
        <f t="shared" si="5"/>
        <v>2</v>
      </c>
      <c r="P62" s="46">
        <f t="shared" si="6"/>
        <v>0.322</v>
      </c>
      <c r="Q62" s="46">
        <f t="array" ref="Q62">IFS(E62="AA",5,E62="BB",4,E62="CC",3,E62="DD",2, E62="EE",1,E62="DDR",1)</f>
        <v>5</v>
      </c>
      <c r="R62" s="46">
        <f t="shared" si="7"/>
        <v>0.95</v>
      </c>
      <c r="S62" s="46">
        <f t="shared" si="8"/>
        <v>2</v>
      </c>
      <c r="T62" s="46">
        <f t="shared" si="9"/>
        <v>0.1</v>
      </c>
      <c r="U62" s="46">
        <f t="shared" si="10"/>
        <v>1</v>
      </c>
      <c r="V62" s="46">
        <f t="shared" si="11"/>
        <v>0.036</v>
      </c>
      <c r="W62" s="46">
        <f t="shared" si="20"/>
        <v>3</v>
      </c>
      <c r="X62" s="46">
        <f t="shared" si="17"/>
        <v>0.201</v>
      </c>
      <c r="Y62" s="46">
        <f t="array" ref="Y62">IFS(
J62="hutan",5,
J62="hutan, sungai",5,
J62="pekarangan",1,
J62="hutan, jalan desa",3,
J62="hutan, kebun sawit",1,
J62="hutan, jalan",3,
J62="sawah",3,
J62="kebun",3,
J62="sawah, kebun",1,
J62="kebun sawit",1,
J62="Lahan GI",5,
J62="kebun sawit, jalan provinsi",1,
J62="lahan kosong",5,
J62="kebun, lahan kosong",3,
J62="jalan desa, kebun sawit",1,
J62="sungai",5
)</f>
        <v>5</v>
      </c>
      <c r="Z62" s="46">
        <f t="shared" si="12"/>
        <v>0.365</v>
      </c>
      <c r="AA62" s="46">
        <f t="shared" si="13"/>
        <v>4.089</v>
      </c>
      <c r="AB62" s="46">
        <f t="shared" si="14"/>
        <v>4</v>
      </c>
    </row>
    <row r="63" ht="14.25" customHeight="1">
      <c r="A63" s="6" t="s">
        <v>222</v>
      </c>
      <c r="B63" s="44">
        <v>3.0</v>
      </c>
      <c r="C63" s="7">
        <v>3.0</v>
      </c>
      <c r="D63" s="44">
        <v>179.15</v>
      </c>
      <c r="E63" s="44" t="s">
        <v>463</v>
      </c>
      <c r="F63" s="44">
        <v>492.15</v>
      </c>
      <c r="G63" s="44">
        <v>522.24</v>
      </c>
      <c r="H63" s="51">
        <v>346.637</v>
      </c>
      <c r="I63" s="52">
        <f t="shared" si="15"/>
        <v>347</v>
      </c>
      <c r="J63" s="46" t="s">
        <v>445</v>
      </c>
      <c r="K63" s="46">
        <f t="shared" si="1"/>
        <v>1</v>
      </c>
      <c r="L63" s="46">
        <f t="shared" si="2"/>
        <v>0.311</v>
      </c>
      <c r="M63" s="46">
        <f t="shared" si="3"/>
        <v>1</v>
      </c>
      <c r="N63" s="46">
        <f t="shared" si="4"/>
        <v>0.112</v>
      </c>
      <c r="O63" s="46">
        <f t="shared" si="5"/>
        <v>2</v>
      </c>
      <c r="P63" s="46">
        <f t="shared" si="6"/>
        <v>0.322</v>
      </c>
      <c r="Q63" s="46">
        <f t="array" ref="Q63">IFS(E63="AA",5,E63="BB",4,E63="CC",3,E63="DD",2, E63="EE",1,E63="DDR",1)</f>
        <v>2</v>
      </c>
      <c r="R63" s="46">
        <f t="shared" si="7"/>
        <v>0.38</v>
      </c>
      <c r="S63" s="46">
        <f t="shared" si="8"/>
        <v>4</v>
      </c>
      <c r="T63" s="46">
        <f t="shared" si="9"/>
        <v>0.2</v>
      </c>
      <c r="U63" s="46">
        <f t="shared" si="10"/>
        <v>2</v>
      </c>
      <c r="V63" s="46">
        <f t="shared" si="11"/>
        <v>0.072</v>
      </c>
      <c r="W63" s="46">
        <f t="shared" si="20"/>
        <v>3</v>
      </c>
      <c r="X63" s="46">
        <f t="shared" si="17"/>
        <v>0.201</v>
      </c>
      <c r="Y63" s="46">
        <f t="array" ref="Y63">IFS(
J63="hutan",5,
J63="hutan, sungai",5,
J63="pekarangan",1,
J63="hutan, jalan desa",3,
J63="hutan, kebun sawit",1,
J63="hutan, jalan",3,
J63="sawah",3,
J63="kebun",3,
J63="sawah, kebun",1,
J63="kebun sawit",1,
J63="Lahan GI",5,
J63="kebun sawit, jalan provinsi",1,
J63="lahan kosong",5,
J63="kebun, lahan kosong",3,
J63="jalan desa, kebun sawit",1,
J63="sungai",5
)</f>
        <v>1</v>
      </c>
      <c r="Z63" s="46">
        <f t="shared" si="12"/>
        <v>0.073</v>
      </c>
      <c r="AA63" s="46">
        <f t="shared" si="13"/>
        <v>1.671</v>
      </c>
      <c r="AB63" s="46">
        <f t="shared" si="14"/>
        <v>1</v>
      </c>
    </row>
    <row r="64" ht="14.25" customHeight="1">
      <c r="A64" s="6" t="s">
        <v>225</v>
      </c>
      <c r="B64" s="44">
        <v>2.0</v>
      </c>
      <c r="C64" s="7">
        <v>3.0</v>
      </c>
      <c r="D64" s="44">
        <v>176.48</v>
      </c>
      <c r="E64" s="44" t="s">
        <v>109</v>
      </c>
      <c r="F64" s="44">
        <v>175.26</v>
      </c>
      <c r="G64" s="44">
        <v>782.84</v>
      </c>
      <c r="H64" s="51">
        <v>287.379</v>
      </c>
      <c r="I64" s="52">
        <f t="shared" si="15"/>
        <v>287</v>
      </c>
      <c r="J64" s="46" t="s">
        <v>445</v>
      </c>
      <c r="K64" s="46">
        <f t="shared" si="1"/>
        <v>3</v>
      </c>
      <c r="L64" s="46">
        <f t="shared" si="2"/>
        <v>0.933</v>
      </c>
      <c r="M64" s="46">
        <f t="shared" si="3"/>
        <v>1</v>
      </c>
      <c r="N64" s="46">
        <f t="shared" si="4"/>
        <v>0.112</v>
      </c>
      <c r="O64" s="46">
        <f t="shared" si="5"/>
        <v>2</v>
      </c>
      <c r="P64" s="46">
        <f t="shared" si="6"/>
        <v>0.322</v>
      </c>
      <c r="Q64" s="46">
        <f t="array" ref="Q64">IFS(E64="AA",5,E64="BB",4,E64="CC",3,E64="DD",2, E64="EE",1,E64="DDR",1)</f>
        <v>4</v>
      </c>
      <c r="R64" s="46">
        <f t="shared" si="7"/>
        <v>0.76</v>
      </c>
      <c r="S64" s="46">
        <f t="shared" si="8"/>
        <v>5</v>
      </c>
      <c r="T64" s="46">
        <f t="shared" si="9"/>
        <v>0.25</v>
      </c>
      <c r="U64" s="46">
        <f t="shared" si="10"/>
        <v>2</v>
      </c>
      <c r="V64" s="46">
        <f t="shared" si="11"/>
        <v>0.072</v>
      </c>
      <c r="W64" s="46">
        <f t="shared" si="20"/>
        <v>5</v>
      </c>
      <c r="X64" s="46">
        <f t="shared" si="17"/>
        <v>0.335</v>
      </c>
      <c r="Y64" s="46">
        <f t="array" ref="Y64">IFS(
J64="hutan",5,
J64="hutan, sungai",5,
J64="pekarangan",1,
J64="hutan, jalan desa",3,
J64="hutan, kebun sawit",1,
J64="hutan, jalan",3,
J64="sawah",3,
J64="kebun",3,
J64="sawah, kebun",1,
J64="kebun sawit",1,
J64="Lahan GI",5,
J64="kebun sawit, jalan provinsi",1,
J64="lahan kosong",5,
J64="kebun, lahan kosong",3,
J64="jalan desa, kebun sawit",1,
J64="sungai",5
)</f>
        <v>1</v>
      </c>
      <c r="Z64" s="46">
        <f t="shared" si="12"/>
        <v>0.073</v>
      </c>
      <c r="AA64" s="46">
        <f t="shared" si="13"/>
        <v>2.857</v>
      </c>
      <c r="AB64" s="46">
        <f t="shared" si="14"/>
        <v>2</v>
      </c>
    </row>
    <row r="65" ht="14.25" customHeight="1">
      <c r="A65" s="6" t="s">
        <v>228</v>
      </c>
      <c r="B65" s="44">
        <v>2.0</v>
      </c>
      <c r="C65" s="7">
        <v>3.0</v>
      </c>
      <c r="D65" s="44">
        <v>167.39</v>
      </c>
      <c r="E65" s="44" t="s">
        <v>109</v>
      </c>
      <c r="F65" s="44">
        <v>47.66</v>
      </c>
      <c r="G65" s="44">
        <v>1051.96</v>
      </c>
      <c r="H65" s="51">
        <v>318.78</v>
      </c>
      <c r="I65" s="52">
        <f t="shared" si="15"/>
        <v>319</v>
      </c>
      <c r="J65" s="46" t="s">
        <v>445</v>
      </c>
      <c r="K65" s="46">
        <f t="shared" si="1"/>
        <v>3</v>
      </c>
      <c r="L65" s="46">
        <f t="shared" si="2"/>
        <v>0.933</v>
      </c>
      <c r="M65" s="46">
        <f t="shared" si="3"/>
        <v>1</v>
      </c>
      <c r="N65" s="46">
        <f t="shared" si="4"/>
        <v>0.112</v>
      </c>
      <c r="O65" s="46">
        <f t="shared" si="5"/>
        <v>2</v>
      </c>
      <c r="P65" s="46">
        <f t="shared" si="6"/>
        <v>0.322</v>
      </c>
      <c r="Q65" s="46">
        <f t="array" ref="Q65">IFS(E65="AA",5,E65="BB",4,E65="CC",3,E65="DD",2, E65="EE",1,E65="DDR",1)</f>
        <v>4</v>
      </c>
      <c r="R65" s="46">
        <f t="shared" si="7"/>
        <v>0.76</v>
      </c>
      <c r="S65" s="46">
        <f t="shared" si="8"/>
        <v>5</v>
      </c>
      <c r="T65" s="46">
        <f t="shared" si="9"/>
        <v>0.25</v>
      </c>
      <c r="U65" s="46">
        <f t="shared" si="10"/>
        <v>2</v>
      </c>
      <c r="V65" s="46">
        <f t="shared" si="11"/>
        <v>0.072</v>
      </c>
      <c r="W65" s="46">
        <f t="shared" si="20"/>
        <v>4</v>
      </c>
      <c r="X65" s="46">
        <f t="shared" si="17"/>
        <v>0.268</v>
      </c>
      <c r="Y65" s="46">
        <f t="array" ref="Y65">IFS(
J65="hutan",5,
J65="hutan, sungai",5,
J65="pekarangan",1,
J65="hutan, jalan desa",3,
J65="hutan, kebun sawit",1,
J65="hutan, jalan",3,
J65="sawah",3,
J65="kebun",3,
J65="sawah, kebun",1,
J65="kebun sawit",1,
J65="Lahan GI",5,
J65="kebun sawit, jalan provinsi",1,
J65="lahan kosong",5,
J65="kebun, lahan kosong",3,
J65="jalan desa, kebun sawit",1,
J65="sungai",5
)</f>
        <v>1</v>
      </c>
      <c r="Z65" s="46">
        <f t="shared" si="12"/>
        <v>0.073</v>
      </c>
      <c r="AA65" s="46">
        <f t="shared" si="13"/>
        <v>2.79</v>
      </c>
      <c r="AB65" s="46">
        <f t="shared" si="14"/>
        <v>2</v>
      </c>
    </row>
    <row r="66" ht="14.25" customHeight="1">
      <c r="A66" s="6" t="s">
        <v>231</v>
      </c>
      <c r="B66" s="44">
        <v>1.0</v>
      </c>
      <c r="C66" s="7">
        <v>3.0</v>
      </c>
      <c r="D66" s="44">
        <v>161.75</v>
      </c>
      <c r="E66" s="44" t="s">
        <v>175</v>
      </c>
      <c r="F66" s="44">
        <v>44.96</v>
      </c>
      <c r="G66" s="44">
        <v>796.44</v>
      </c>
      <c r="H66" s="51">
        <v>333.356</v>
      </c>
      <c r="I66" s="52">
        <f t="shared" si="15"/>
        <v>333</v>
      </c>
      <c r="J66" s="46" t="s">
        <v>445</v>
      </c>
      <c r="K66" s="46">
        <f t="shared" si="1"/>
        <v>5</v>
      </c>
      <c r="L66" s="46">
        <f t="shared" si="2"/>
        <v>1.555</v>
      </c>
      <c r="M66" s="46">
        <f t="shared" si="3"/>
        <v>1</v>
      </c>
      <c r="N66" s="46">
        <f t="shared" si="4"/>
        <v>0.112</v>
      </c>
      <c r="O66" s="46">
        <f t="shared" si="5"/>
        <v>2</v>
      </c>
      <c r="P66" s="46">
        <f t="shared" si="6"/>
        <v>0.322</v>
      </c>
      <c r="Q66" s="46">
        <f t="array" ref="Q66">IFS(E66="AA",5,E66="BB",4,E66="CC",3,E66="DD",2, E66="EE",1,E66="DDR",1)</f>
        <v>5</v>
      </c>
      <c r="R66" s="46">
        <f t="shared" si="7"/>
        <v>0.95</v>
      </c>
      <c r="S66" s="46">
        <f t="shared" si="8"/>
        <v>5</v>
      </c>
      <c r="T66" s="46">
        <f t="shared" si="9"/>
        <v>0.25</v>
      </c>
      <c r="U66" s="46">
        <f t="shared" si="10"/>
        <v>2</v>
      </c>
      <c r="V66" s="46">
        <f t="shared" si="11"/>
        <v>0.072</v>
      </c>
      <c r="W66" s="46">
        <f t="shared" si="20"/>
        <v>4</v>
      </c>
      <c r="X66" s="46">
        <f t="shared" si="17"/>
        <v>0.268</v>
      </c>
      <c r="Y66" s="46">
        <f t="array" ref="Y66">IFS(
J66="hutan",5,
J66="hutan, sungai",5,
J66="pekarangan",1,
J66="hutan, jalan desa",3,
J66="hutan, kebun sawit",1,
J66="hutan, jalan",3,
J66="sawah",3,
J66="kebun",3,
J66="sawah, kebun",1,
J66="kebun sawit",1,
J66="Lahan GI",5,
J66="kebun sawit, jalan provinsi",1,
J66="lahan kosong",5,
J66="kebun, lahan kosong",3,
J66="jalan desa, kebun sawit",1,
J66="sungai",5
)</f>
        <v>1</v>
      </c>
      <c r="Z66" s="46">
        <f t="shared" si="12"/>
        <v>0.073</v>
      </c>
      <c r="AA66" s="46">
        <f t="shared" si="13"/>
        <v>3.602</v>
      </c>
      <c r="AB66" s="46">
        <f t="shared" si="14"/>
        <v>3</v>
      </c>
    </row>
    <row r="67" ht="14.25" customHeight="1">
      <c r="A67" s="6" t="s">
        <v>235</v>
      </c>
      <c r="B67" s="44">
        <v>1.0</v>
      </c>
      <c r="C67" s="7">
        <v>3.0</v>
      </c>
      <c r="D67" s="44">
        <v>151.5</v>
      </c>
      <c r="E67" s="44" t="s">
        <v>175</v>
      </c>
      <c r="F67" s="44">
        <v>31.84</v>
      </c>
      <c r="G67" s="44">
        <v>984.32</v>
      </c>
      <c r="H67" s="51">
        <v>337.886</v>
      </c>
      <c r="I67" s="52">
        <f t="shared" si="15"/>
        <v>338</v>
      </c>
      <c r="J67" s="46" t="s">
        <v>445</v>
      </c>
      <c r="K67" s="46">
        <f t="shared" si="1"/>
        <v>5</v>
      </c>
      <c r="L67" s="46">
        <f t="shared" si="2"/>
        <v>1.555</v>
      </c>
      <c r="M67" s="46">
        <f t="shared" si="3"/>
        <v>1</v>
      </c>
      <c r="N67" s="46">
        <f t="shared" si="4"/>
        <v>0.112</v>
      </c>
      <c r="O67" s="46">
        <f t="shared" si="5"/>
        <v>3</v>
      </c>
      <c r="P67" s="46">
        <f t="shared" si="6"/>
        <v>0.483</v>
      </c>
      <c r="Q67" s="46">
        <f t="array" ref="Q67">IFS(E67="AA",5,E67="BB",4,E67="CC",3,E67="DD",2, E67="EE",1,E67="DDR",1)</f>
        <v>5</v>
      </c>
      <c r="R67" s="46">
        <f t="shared" si="7"/>
        <v>0.95</v>
      </c>
      <c r="S67" s="46">
        <f t="shared" si="8"/>
        <v>5</v>
      </c>
      <c r="T67" s="46">
        <f t="shared" si="9"/>
        <v>0.25</v>
      </c>
      <c r="U67" s="46">
        <f t="shared" si="10"/>
        <v>2</v>
      </c>
      <c r="V67" s="46">
        <f t="shared" si="11"/>
        <v>0.072</v>
      </c>
      <c r="W67" s="46">
        <f t="shared" si="20"/>
        <v>4</v>
      </c>
      <c r="X67" s="46">
        <f t="shared" si="17"/>
        <v>0.268</v>
      </c>
      <c r="Y67" s="46">
        <f t="array" ref="Y67">IFS(
J67="hutan",5,
J67="hutan, sungai",5,
J67="pekarangan",1,
J67="hutan, jalan desa",3,
J67="hutan, kebun sawit",1,
J67="hutan, jalan",3,
J67="sawah",3,
J67="kebun",3,
J67="sawah, kebun",1,
J67="kebun sawit",1,
J67="Lahan GI",5,
J67="kebun sawit, jalan provinsi",1,
J67="lahan kosong",5,
J67="kebun, lahan kosong",3,
J67="jalan desa, kebun sawit",1,
J67="sungai",5
)</f>
        <v>1</v>
      </c>
      <c r="Z67" s="46">
        <f t="shared" si="12"/>
        <v>0.073</v>
      </c>
      <c r="AA67" s="46">
        <f t="shared" si="13"/>
        <v>3.763</v>
      </c>
      <c r="AB67" s="46">
        <f t="shared" si="14"/>
        <v>4</v>
      </c>
    </row>
    <row r="68" ht="14.25" customHeight="1">
      <c r="A68" s="6" t="s">
        <v>238</v>
      </c>
      <c r="B68" s="44">
        <v>1.0</v>
      </c>
      <c r="C68" s="7">
        <v>3.0</v>
      </c>
      <c r="D68" s="44">
        <v>142.86</v>
      </c>
      <c r="E68" s="44" t="s">
        <v>109</v>
      </c>
      <c r="F68" s="44">
        <v>34.39</v>
      </c>
      <c r="G68" s="44">
        <v>1042.22</v>
      </c>
      <c r="H68" s="51">
        <v>349.751</v>
      </c>
      <c r="I68" s="52">
        <f t="shared" si="15"/>
        <v>350</v>
      </c>
      <c r="J68" s="46" t="s">
        <v>466</v>
      </c>
      <c r="K68" s="46">
        <f t="shared" si="1"/>
        <v>5</v>
      </c>
      <c r="L68" s="46">
        <f t="shared" si="2"/>
        <v>1.555</v>
      </c>
      <c r="M68" s="46">
        <f t="shared" si="3"/>
        <v>1</v>
      </c>
      <c r="N68" s="46">
        <f t="shared" si="4"/>
        <v>0.112</v>
      </c>
      <c r="O68" s="46">
        <f t="shared" si="5"/>
        <v>3</v>
      </c>
      <c r="P68" s="46">
        <f t="shared" si="6"/>
        <v>0.483</v>
      </c>
      <c r="Q68" s="46">
        <f t="array" ref="Q68">IFS(E68="AA",5,E68="BB",4,E68="CC",3,E68="DD",2, E68="EE",1,E68="DDR",1)</f>
        <v>4</v>
      </c>
      <c r="R68" s="46">
        <f t="shared" si="7"/>
        <v>0.76</v>
      </c>
      <c r="S68" s="46">
        <f t="shared" si="8"/>
        <v>5</v>
      </c>
      <c r="T68" s="46">
        <f t="shared" si="9"/>
        <v>0.25</v>
      </c>
      <c r="U68" s="46">
        <f t="shared" si="10"/>
        <v>2</v>
      </c>
      <c r="V68" s="46">
        <f t="shared" si="11"/>
        <v>0.072</v>
      </c>
      <c r="W68" s="46">
        <f t="shared" si="20"/>
        <v>3</v>
      </c>
      <c r="X68" s="46">
        <f t="shared" si="17"/>
        <v>0.201</v>
      </c>
      <c r="Y68" s="46">
        <f t="array" ref="Y68">IFS(
J68="hutan",5,
J68="hutan, sungai",5,
J68="pekarangan",1,
J68="hutan, jalan desa",3,
J68="hutan, kebun sawit",1,
J68="hutan, jalan",3,
J68="sawah",3,
J68="kebun",3,
J68="sawah, kebun",1,
J68="kebun sawit",1,
J68="Lahan GI",5,
J68="kebun sawit, jalan provinsi",1,
J68="lahan kosong",5,
J68="kebun, lahan kosong",3,
J68="jalan desa, kebun sawit",1,
J68="sungai",5
)</f>
        <v>1</v>
      </c>
      <c r="Z68" s="46">
        <f t="shared" si="12"/>
        <v>0.073</v>
      </c>
      <c r="AA68" s="46">
        <f t="shared" si="13"/>
        <v>3.506</v>
      </c>
      <c r="AB68" s="46">
        <f t="shared" si="14"/>
        <v>3</v>
      </c>
    </row>
    <row r="69" ht="14.25" customHeight="1">
      <c r="A69" s="6" t="s">
        <v>241</v>
      </c>
      <c r="B69" s="44">
        <v>2.0</v>
      </c>
      <c r="C69" s="7">
        <v>3.0</v>
      </c>
      <c r="D69" s="44">
        <v>133.89</v>
      </c>
      <c r="E69" s="44" t="s">
        <v>463</v>
      </c>
      <c r="F69" s="44">
        <v>40.27</v>
      </c>
      <c r="G69" s="44">
        <v>1231.06</v>
      </c>
      <c r="H69" s="51">
        <v>298.841</v>
      </c>
      <c r="I69" s="52">
        <f t="shared" si="15"/>
        <v>299</v>
      </c>
      <c r="J69" s="46" t="s">
        <v>466</v>
      </c>
      <c r="K69" s="46">
        <f t="shared" si="1"/>
        <v>3</v>
      </c>
      <c r="L69" s="46">
        <f t="shared" si="2"/>
        <v>0.933</v>
      </c>
      <c r="M69" s="46">
        <f t="shared" si="3"/>
        <v>1</v>
      </c>
      <c r="N69" s="46">
        <f t="shared" si="4"/>
        <v>0.112</v>
      </c>
      <c r="O69" s="46">
        <f t="shared" si="5"/>
        <v>3</v>
      </c>
      <c r="P69" s="46">
        <f t="shared" si="6"/>
        <v>0.483</v>
      </c>
      <c r="Q69" s="46">
        <f t="array" ref="Q69">IFS(E69="AA",5,E69="BB",4,E69="CC",3,E69="DD",2, E69="EE",1,E69="DDR",1)</f>
        <v>2</v>
      </c>
      <c r="R69" s="46">
        <f t="shared" si="7"/>
        <v>0.38</v>
      </c>
      <c r="S69" s="46">
        <f t="shared" si="8"/>
        <v>5</v>
      </c>
      <c r="T69" s="46">
        <f t="shared" si="9"/>
        <v>0.25</v>
      </c>
      <c r="U69" s="46">
        <f t="shared" si="10"/>
        <v>2</v>
      </c>
      <c r="V69" s="46">
        <f t="shared" si="11"/>
        <v>0.072</v>
      </c>
      <c r="W69" s="46">
        <v>5.0</v>
      </c>
      <c r="X69" s="46">
        <f t="shared" si="17"/>
        <v>0.335</v>
      </c>
      <c r="Y69" s="46">
        <f t="array" ref="Y69">IFS(
J69="hutan",5,
J69="hutan, sungai",5,
J69="pekarangan",1,
J69="hutan, jalan desa",3,
J69="hutan, kebun sawit",1,
J69="hutan, jalan",3,
J69="sawah",3,
J69="kebun",3,
J69="sawah, kebun",1,
J69="kebun sawit",1,
J69="Lahan GI",5,
J69="kebun sawit, jalan provinsi",1,
J69="lahan kosong",5,
J69="kebun, lahan kosong",3,
J69="jalan desa, kebun sawit",1,
J69="sungai",5
)</f>
        <v>1</v>
      </c>
      <c r="Z69" s="46">
        <f t="shared" si="12"/>
        <v>0.073</v>
      </c>
      <c r="AA69" s="46">
        <f t="shared" si="13"/>
        <v>2.638</v>
      </c>
      <c r="AB69" s="46">
        <f t="shared" si="14"/>
        <v>2</v>
      </c>
    </row>
    <row r="70" ht="14.25" customHeight="1">
      <c r="A70" s="6" t="s">
        <v>245</v>
      </c>
      <c r="B70" s="44">
        <v>2.0</v>
      </c>
      <c r="C70" s="7">
        <v>3.0</v>
      </c>
      <c r="D70" s="44">
        <v>131.57</v>
      </c>
      <c r="E70" s="44" t="s">
        <v>132</v>
      </c>
      <c r="F70" s="44">
        <v>29.43</v>
      </c>
      <c r="G70" s="44">
        <v>1418.06</v>
      </c>
      <c r="H70" s="51">
        <v>308.597</v>
      </c>
      <c r="I70" s="52">
        <f t="shared" si="15"/>
        <v>309</v>
      </c>
      <c r="J70" s="46" t="s">
        <v>452</v>
      </c>
      <c r="K70" s="46">
        <f t="shared" si="1"/>
        <v>3</v>
      </c>
      <c r="L70" s="46">
        <f t="shared" si="2"/>
        <v>0.933</v>
      </c>
      <c r="M70" s="46">
        <f t="shared" si="3"/>
        <v>1</v>
      </c>
      <c r="N70" s="46">
        <f t="shared" si="4"/>
        <v>0.112</v>
      </c>
      <c r="O70" s="46">
        <f t="shared" si="5"/>
        <v>3</v>
      </c>
      <c r="P70" s="46">
        <f t="shared" si="6"/>
        <v>0.483</v>
      </c>
      <c r="Q70" s="46">
        <f t="array" ref="Q70">IFS(E70="AA",5,E70="BB",4,E70="CC",3,E70="DD",2, E70="EE",1,E70="DDR",1)</f>
        <v>3</v>
      </c>
      <c r="R70" s="46">
        <f t="shared" si="7"/>
        <v>0.57</v>
      </c>
      <c r="S70" s="46">
        <f t="shared" si="8"/>
        <v>5</v>
      </c>
      <c r="T70" s="46">
        <f t="shared" si="9"/>
        <v>0.25</v>
      </c>
      <c r="U70" s="46">
        <f t="shared" si="10"/>
        <v>3</v>
      </c>
      <c r="V70" s="46">
        <f t="shared" si="11"/>
        <v>0.108</v>
      </c>
      <c r="W70" s="46">
        <f t="shared" ref="W70:W74" si="21">MAX(1,MIN(5,
ROUND(5-(ABS(H70-275)/(275-100)*4),0)
))</f>
        <v>4</v>
      </c>
      <c r="X70" s="46">
        <f t="shared" si="17"/>
        <v>0.268</v>
      </c>
      <c r="Y70" s="46">
        <v>1.0</v>
      </c>
      <c r="Z70" s="46">
        <f t="shared" si="12"/>
        <v>0.073</v>
      </c>
      <c r="AA70" s="46">
        <f t="shared" si="13"/>
        <v>2.797</v>
      </c>
      <c r="AB70" s="46">
        <f t="shared" si="14"/>
        <v>2</v>
      </c>
    </row>
    <row r="71" ht="14.25" customHeight="1">
      <c r="A71" s="6" t="s">
        <v>248</v>
      </c>
      <c r="B71" s="44">
        <v>1.0</v>
      </c>
      <c r="C71" s="7">
        <v>2.0</v>
      </c>
      <c r="D71" s="44">
        <v>123.89</v>
      </c>
      <c r="E71" s="44" t="s">
        <v>175</v>
      </c>
      <c r="F71" s="44">
        <v>48.15</v>
      </c>
      <c r="G71" s="44">
        <v>1554.84</v>
      </c>
      <c r="H71" s="51">
        <v>331.696</v>
      </c>
      <c r="I71" s="52">
        <f t="shared" si="15"/>
        <v>332</v>
      </c>
      <c r="J71" s="46" t="s">
        <v>470</v>
      </c>
      <c r="K71" s="46">
        <f t="shared" si="1"/>
        <v>5</v>
      </c>
      <c r="L71" s="46">
        <f t="shared" si="2"/>
        <v>1.555</v>
      </c>
      <c r="M71" s="46">
        <f t="shared" si="3"/>
        <v>3</v>
      </c>
      <c r="N71" s="46">
        <f t="shared" si="4"/>
        <v>0.336</v>
      </c>
      <c r="O71" s="46">
        <f t="shared" si="5"/>
        <v>3</v>
      </c>
      <c r="P71" s="46">
        <f t="shared" si="6"/>
        <v>0.483</v>
      </c>
      <c r="Q71" s="46">
        <f t="array" ref="Q71">IFS(E71="AA",5,E71="BB",4,E71="CC",3,E71="DD",2, E71="EE",1,E71="DDR",1)</f>
        <v>5</v>
      </c>
      <c r="R71" s="46">
        <f t="shared" si="7"/>
        <v>0.95</v>
      </c>
      <c r="S71" s="46">
        <f t="shared" si="8"/>
        <v>5</v>
      </c>
      <c r="T71" s="46">
        <f t="shared" si="9"/>
        <v>0.25</v>
      </c>
      <c r="U71" s="46">
        <f t="shared" si="10"/>
        <v>3</v>
      </c>
      <c r="V71" s="46">
        <f t="shared" si="11"/>
        <v>0.108</v>
      </c>
      <c r="W71" s="46">
        <f t="shared" si="21"/>
        <v>4</v>
      </c>
      <c r="X71" s="46">
        <f t="shared" si="17"/>
        <v>0.268</v>
      </c>
      <c r="Y71" s="46">
        <f t="array" ref="Y71">IFS(
J71="hutan",5,
J71="hutan, sungai",5,
J71="pekarangan",1,
J71="hutan, jalan desa",3,
J71="hutan, kebun sawit",1,
J71="hutan, jalan",3,
J71="sawah",3,
J71="kebun",3,
J71="sawah, kebun",1,
J71="kebun sawit",1,
J71="Lahan GI",5,
J71="kebun sawit, jalan provinsi",1,
J71="lahan kosong",5,
J71="kebun, lahan kosong",3,
J71="jalan desa, kebun sawit",1,
J71="sungai",5
)</f>
        <v>3</v>
      </c>
      <c r="Z71" s="46">
        <f t="shared" si="12"/>
        <v>0.219</v>
      </c>
      <c r="AA71" s="46">
        <f t="shared" si="13"/>
        <v>4.169</v>
      </c>
      <c r="AB71" s="46">
        <f t="shared" si="14"/>
        <v>4</v>
      </c>
    </row>
    <row r="72" ht="14.25" customHeight="1">
      <c r="A72" s="6" t="s">
        <v>251</v>
      </c>
      <c r="B72" s="44">
        <v>1.0</v>
      </c>
      <c r="C72" s="7">
        <v>2.0</v>
      </c>
      <c r="D72" s="44">
        <v>125.01</v>
      </c>
      <c r="E72" s="44" t="s">
        <v>175</v>
      </c>
      <c r="F72" s="44">
        <v>46.15</v>
      </c>
      <c r="G72" s="44">
        <v>2023.7</v>
      </c>
      <c r="H72" s="51">
        <v>372.224</v>
      </c>
      <c r="I72" s="52">
        <f t="shared" si="15"/>
        <v>372</v>
      </c>
      <c r="J72" s="46" t="s">
        <v>470</v>
      </c>
      <c r="K72" s="46">
        <f t="shared" si="1"/>
        <v>5</v>
      </c>
      <c r="L72" s="46">
        <f t="shared" si="2"/>
        <v>1.555</v>
      </c>
      <c r="M72" s="46">
        <f t="shared" si="3"/>
        <v>3</v>
      </c>
      <c r="N72" s="46">
        <f t="shared" si="4"/>
        <v>0.336</v>
      </c>
      <c r="O72" s="46">
        <f t="shared" si="5"/>
        <v>3</v>
      </c>
      <c r="P72" s="46">
        <f t="shared" si="6"/>
        <v>0.483</v>
      </c>
      <c r="Q72" s="46">
        <f t="array" ref="Q72">IFS(E72="AA",5,E72="BB",4,E72="CC",3,E72="DD",2, E72="EE",1,E72="DDR",1)</f>
        <v>5</v>
      </c>
      <c r="R72" s="46">
        <f t="shared" si="7"/>
        <v>0.95</v>
      </c>
      <c r="S72" s="46">
        <f t="shared" si="8"/>
        <v>5</v>
      </c>
      <c r="T72" s="46">
        <f t="shared" si="9"/>
        <v>0.25</v>
      </c>
      <c r="U72" s="46">
        <f t="shared" si="10"/>
        <v>3</v>
      </c>
      <c r="V72" s="46">
        <f t="shared" si="11"/>
        <v>0.108</v>
      </c>
      <c r="W72" s="46">
        <f t="shared" si="21"/>
        <v>3</v>
      </c>
      <c r="X72" s="46">
        <f t="shared" si="17"/>
        <v>0.201</v>
      </c>
      <c r="Y72" s="46">
        <f t="array" ref="Y72">IFS(
J72="hutan",5,
J72="hutan, sungai",5,
J72="pekarangan",1,
J72="hutan, jalan desa",3,
J72="hutan, kebun sawit",1,
J72="hutan, jalan",3,
J72="sawah",3,
J72="kebun",3,
J72="sawah, kebun",1,
J72="kebun sawit",1,
J72="Lahan GI",5,
J72="kebun sawit, jalan provinsi",1,
J72="lahan kosong",5,
J72="kebun, lahan kosong",3,
J72="jalan desa, kebun sawit",1,
J72="sungai",5
)</f>
        <v>3</v>
      </c>
      <c r="Z72" s="46">
        <f t="shared" si="12"/>
        <v>0.219</v>
      </c>
      <c r="AA72" s="46">
        <f t="shared" si="13"/>
        <v>4.102</v>
      </c>
      <c r="AB72" s="46">
        <f t="shared" si="14"/>
        <v>4</v>
      </c>
    </row>
    <row r="73" ht="14.25" customHeight="1">
      <c r="A73" s="6" t="s">
        <v>254</v>
      </c>
      <c r="B73" s="44">
        <v>1.0</v>
      </c>
      <c r="C73" s="7">
        <v>2.0</v>
      </c>
      <c r="D73" s="44">
        <v>123.47</v>
      </c>
      <c r="E73" s="44" t="s">
        <v>175</v>
      </c>
      <c r="F73" s="44">
        <v>41.08</v>
      </c>
      <c r="G73" s="44">
        <v>2436.18</v>
      </c>
      <c r="H73" s="51">
        <v>365.679</v>
      </c>
      <c r="I73" s="52">
        <f t="shared" si="15"/>
        <v>366</v>
      </c>
      <c r="J73" s="46" t="s">
        <v>470</v>
      </c>
      <c r="K73" s="46">
        <f t="shared" si="1"/>
        <v>5</v>
      </c>
      <c r="L73" s="46">
        <f t="shared" si="2"/>
        <v>1.555</v>
      </c>
      <c r="M73" s="46">
        <f t="shared" si="3"/>
        <v>3</v>
      </c>
      <c r="N73" s="46">
        <f t="shared" si="4"/>
        <v>0.336</v>
      </c>
      <c r="O73" s="46">
        <f t="shared" si="5"/>
        <v>3</v>
      </c>
      <c r="P73" s="46">
        <f t="shared" si="6"/>
        <v>0.483</v>
      </c>
      <c r="Q73" s="46">
        <f t="array" ref="Q73">IFS(E73="AA",5,E73="BB",4,E73="CC",3,E73="DD",2, E73="EE",1,E73="DDR",1)</f>
        <v>5</v>
      </c>
      <c r="R73" s="46">
        <f t="shared" si="7"/>
        <v>0.95</v>
      </c>
      <c r="S73" s="46">
        <f t="shared" si="8"/>
        <v>5</v>
      </c>
      <c r="T73" s="46">
        <f t="shared" si="9"/>
        <v>0.25</v>
      </c>
      <c r="U73" s="46">
        <f t="shared" si="10"/>
        <v>4</v>
      </c>
      <c r="V73" s="46">
        <f t="shared" si="11"/>
        <v>0.144</v>
      </c>
      <c r="W73" s="46">
        <f t="shared" si="21"/>
        <v>3</v>
      </c>
      <c r="X73" s="46">
        <f t="shared" si="17"/>
        <v>0.201</v>
      </c>
      <c r="Y73" s="46">
        <f t="array" ref="Y73">IFS(
J73="hutan",5,
J73="hutan, sungai",5,
J73="pekarangan",1,
J73="hutan, jalan desa",3,
J73="hutan, kebun sawit",1,
J73="hutan, jalan",3,
J73="sawah",3,
J73="kebun",3,
J73="sawah, kebun",1,
J73="kebun sawit",1,
J73="Lahan GI",5,
J73="kebun sawit, jalan provinsi",1,
J73="lahan kosong",5,
J73="kebun, lahan kosong",3,
J73="jalan desa, kebun sawit",1,
J73="sungai",5
)</f>
        <v>3</v>
      </c>
      <c r="Z73" s="46">
        <f t="shared" si="12"/>
        <v>0.219</v>
      </c>
      <c r="AA73" s="46">
        <f t="shared" si="13"/>
        <v>4.138</v>
      </c>
      <c r="AB73" s="46">
        <f t="shared" si="14"/>
        <v>4</v>
      </c>
    </row>
    <row r="74" ht="14.25" customHeight="1">
      <c r="A74" s="6" t="s">
        <v>257</v>
      </c>
      <c r="B74" s="44">
        <v>1.0</v>
      </c>
      <c r="C74" s="7">
        <v>2.0</v>
      </c>
      <c r="D74" s="44">
        <v>118.03</v>
      </c>
      <c r="E74" s="44" t="s">
        <v>175</v>
      </c>
      <c r="F74" s="44">
        <v>32.87</v>
      </c>
      <c r="G74" s="44">
        <v>2824.39</v>
      </c>
      <c r="H74" s="51">
        <v>378.865</v>
      </c>
      <c r="I74" s="52">
        <f t="shared" si="15"/>
        <v>379</v>
      </c>
      <c r="J74" s="46" t="s">
        <v>470</v>
      </c>
      <c r="K74" s="46">
        <f t="shared" si="1"/>
        <v>5</v>
      </c>
      <c r="L74" s="46">
        <f t="shared" si="2"/>
        <v>1.555</v>
      </c>
      <c r="M74" s="46">
        <f t="shared" si="3"/>
        <v>3</v>
      </c>
      <c r="N74" s="46">
        <f t="shared" si="4"/>
        <v>0.336</v>
      </c>
      <c r="O74" s="46">
        <f t="shared" si="5"/>
        <v>3</v>
      </c>
      <c r="P74" s="46">
        <f t="shared" si="6"/>
        <v>0.483</v>
      </c>
      <c r="Q74" s="46">
        <f t="array" ref="Q74">IFS(E74="AA",5,E74="BB",4,E74="CC",3,E74="DD",2, E74="EE",1,E74="DDR",1)</f>
        <v>5</v>
      </c>
      <c r="R74" s="46">
        <f t="shared" si="7"/>
        <v>0.95</v>
      </c>
      <c r="S74" s="46">
        <f t="shared" si="8"/>
        <v>5</v>
      </c>
      <c r="T74" s="46">
        <f t="shared" si="9"/>
        <v>0.25</v>
      </c>
      <c r="U74" s="46">
        <f t="shared" si="10"/>
        <v>4</v>
      </c>
      <c r="V74" s="46">
        <f t="shared" si="11"/>
        <v>0.144</v>
      </c>
      <c r="W74" s="46">
        <f t="shared" si="21"/>
        <v>3</v>
      </c>
      <c r="X74" s="46">
        <f t="shared" si="17"/>
        <v>0.201</v>
      </c>
      <c r="Y74" s="46">
        <f t="array" ref="Y74">IFS(
J74="hutan",5,
J74="hutan, sungai",5,
J74="pekarangan",1,
J74="hutan, jalan desa",3,
J74="hutan, kebun sawit",1,
J74="hutan, jalan",3,
J74="sawah",3,
J74="kebun",3,
J74="sawah, kebun",1,
J74="kebun sawit",1,
J74="Lahan GI",5,
J74="kebun sawit, jalan provinsi",1,
J74="lahan kosong",5,
J74="kebun, lahan kosong",3,
J74="jalan desa, kebun sawit",1,
J74="sungai",5
)</f>
        <v>3</v>
      </c>
      <c r="Z74" s="46">
        <f t="shared" si="12"/>
        <v>0.219</v>
      </c>
      <c r="AA74" s="46">
        <f t="shared" si="13"/>
        <v>4.138</v>
      </c>
      <c r="AB74" s="46">
        <f t="shared" si="14"/>
        <v>4</v>
      </c>
    </row>
    <row r="75" ht="14.25" customHeight="1">
      <c r="A75" s="6" t="s">
        <v>260</v>
      </c>
      <c r="B75" s="44">
        <v>1.0</v>
      </c>
      <c r="C75" s="7">
        <v>3.0</v>
      </c>
      <c r="D75" s="44">
        <v>117.08</v>
      </c>
      <c r="E75" s="44" t="s">
        <v>175</v>
      </c>
      <c r="F75" s="44">
        <v>31.62</v>
      </c>
      <c r="G75" s="44">
        <v>3188.99</v>
      </c>
      <c r="H75" s="51">
        <v>381.514</v>
      </c>
      <c r="I75" s="52">
        <f t="shared" si="15"/>
        <v>382</v>
      </c>
      <c r="J75" s="46" t="s">
        <v>123</v>
      </c>
      <c r="K75" s="46">
        <f t="shared" si="1"/>
        <v>5</v>
      </c>
      <c r="L75" s="46">
        <f t="shared" si="2"/>
        <v>1.555</v>
      </c>
      <c r="M75" s="46">
        <f t="shared" si="3"/>
        <v>1</v>
      </c>
      <c r="N75" s="46">
        <f t="shared" si="4"/>
        <v>0.112</v>
      </c>
      <c r="O75" s="46">
        <f t="shared" si="5"/>
        <v>3</v>
      </c>
      <c r="P75" s="46">
        <f t="shared" si="6"/>
        <v>0.483</v>
      </c>
      <c r="Q75" s="46">
        <f t="array" ref="Q75">IFS(E75="AA",5,E75="BB",4,E75="CC",3,E75="DD",2, E75="EE",1,E75="DDR",1)</f>
        <v>5</v>
      </c>
      <c r="R75" s="46">
        <f t="shared" si="7"/>
        <v>0.95</v>
      </c>
      <c r="S75" s="46">
        <f t="shared" si="8"/>
        <v>5</v>
      </c>
      <c r="T75" s="46">
        <f t="shared" si="9"/>
        <v>0.25</v>
      </c>
      <c r="U75" s="46">
        <f t="shared" si="10"/>
        <v>5</v>
      </c>
      <c r="V75" s="46">
        <f t="shared" si="11"/>
        <v>0.18</v>
      </c>
      <c r="W75" s="46">
        <v>2.0</v>
      </c>
      <c r="X75" s="46">
        <f t="shared" si="17"/>
        <v>0.134</v>
      </c>
      <c r="Y75" s="46">
        <f t="array" ref="Y75">IFS(
J75="hutan",5,
J75="hutan, sungai",5,
J75="pekarangan",1,
J75="hutan, jalan desa",3,
J75="hutan, kebun sawit",1,
J75="hutan, jalan",3,
J75="sawah",3,
J75="kebun",3,
J75="sawah, kebun",1,
J75="kebun sawit",1,
J75="Lahan GI",5,
J75="kebun sawit, jalan provinsi",1,
J75="lahan kosong",5,
J75="kebun, lahan kosong",3,
J75="jalan desa, kebun sawit",1,
J75="sungai",5
)</f>
        <v>1</v>
      </c>
      <c r="Z75" s="46">
        <f t="shared" si="12"/>
        <v>0.073</v>
      </c>
      <c r="AA75" s="46">
        <f t="shared" si="13"/>
        <v>3.737</v>
      </c>
      <c r="AB75" s="46">
        <f t="shared" si="14"/>
        <v>4</v>
      </c>
    </row>
    <row r="76" ht="14.25" customHeight="1">
      <c r="A76" s="6" t="s">
        <v>263</v>
      </c>
      <c r="B76" s="44">
        <v>1.0</v>
      </c>
      <c r="C76" s="7">
        <v>2.0</v>
      </c>
      <c r="D76" s="44">
        <v>113.06</v>
      </c>
      <c r="E76" s="44" t="s">
        <v>175</v>
      </c>
      <c r="F76" s="44">
        <v>24.14</v>
      </c>
      <c r="G76" s="44">
        <v>3537.71</v>
      </c>
      <c r="H76" s="51">
        <v>383.25</v>
      </c>
      <c r="I76" s="52">
        <f t="shared" si="15"/>
        <v>383</v>
      </c>
      <c r="J76" s="46" t="s">
        <v>470</v>
      </c>
      <c r="K76" s="46">
        <f t="shared" si="1"/>
        <v>5</v>
      </c>
      <c r="L76" s="46">
        <f t="shared" si="2"/>
        <v>1.555</v>
      </c>
      <c r="M76" s="46">
        <f t="shared" si="3"/>
        <v>3</v>
      </c>
      <c r="N76" s="46">
        <f t="shared" si="4"/>
        <v>0.336</v>
      </c>
      <c r="O76" s="46">
        <f t="shared" si="5"/>
        <v>3</v>
      </c>
      <c r="P76" s="46">
        <f t="shared" si="6"/>
        <v>0.483</v>
      </c>
      <c r="Q76" s="46">
        <f t="array" ref="Q76">IFS(E76="AA",5,E76="BB",4,E76="CC",3,E76="DD",2, E76="EE",1,E76="DDR",1)</f>
        <v>5</v>
      </c>
      <c r="R76" s="46">
        <f t="shared" si="7"/>
        <v>0.95</v>
      </c>
      <c r="S76" s="46">
        <f t="shared" si="8"/>
        <v>5</v>
      </c>
      <c r="T76" s="46">
        <f t="shared" si="9"/>
        <v>0.25</v>
      </c>
      <c r="U76" s="46">
        <f t="shared" si="10"/>
        <v>5</v>
      </c>
      <c r="V76" s="46">
        <f t="shared" si="11"/>
        <v>0.18</v>
      </c>
      <c r="W76" s="46">
        <v>2.0</v>
      </c>
      <c r="X76" s="46">
        <f t="shared" si="17"/>
        <v>0.134</v>
      </c>
      <c r="Y76" s="46">
        <f t="array" ref="Y76">IFS(
J76="hutan",5,
J76="hutan, sungai",5,
J76="pekarangan",1,
J76="hutan, jalan desa",3,
J76="hutan, kebun sawit",1,
J76="hutan, jalan",3,
J76="sawah",3,
J76="kebun",3,
J76="sawah, kebun",1,
J76="kebun sawit",1,
J76="Lahan GI",5,
J76="kebun sawit, jalan provinsi",1,
J76="lahan kosong",5,
J76="kebun, lahan kosong",3,
J76="jalan desa, kebun sawit",1,
J76="sungai",5
)</f>
        <v>3</v>
      </c>
      <c r="Z76" s="46">
        <f t="shared" si="12"/>
        <v>0.219</v>
      </c>
      <c r="AA76" s="46">
        <f t="shared" si="13"/>
        <v>4.107</v>
      </c>
      <c r="AB76" s="46">
        <f t="shared" si="14"/>
        <v>4</v>
      </c>
    </row>
    <row r="77" ht="14.25" customHeight="1">
      <c r="A77" s="6" t="s">
        <v>266</v>
      </c>
      <c r="B77" s="44">
        <v>1.0</v>
      </c>
      <c r="C77" s="7">
        <v>2.0</v>
      </c>
      <c r="D77" s="44">
        <v>104.87</v>
      </c>
      <c r="E77" s="44" t="s">
        <v>109</v>
      </c>
      <c r="F77" s="44">
        <v>33.4</v>
      </c>
      <c r="G77" s="44">
        <v>142.84</v>
      </c>
      <c r="H77" s="51">
        <v>381.155</v>
      </c>
      <c r="I77" s="52">
        <f t="shared" si="15"/>
        <v>381</v>
      </c>
      <c r="J77" s="46" t="s">
        <v>470</v>
      </c>
      <c r="K77" s="46">
        <f t="shared" si="1"/>
        <v>5</v>
      </c>
      <c r="L77" s="46">
        <f t="shared" si="2"/>
        <v>1.555</v>
      </c>
      <c r="M77" s="46">
        <f t="shared" si="3"/>
        <v>3</v>
      </c>
      <c r="N77" s="46">
        <f t="shared" si="4"/>
        <v>0.336</v>
      </c>
      <c r="O77" s="46">
        <f t="shared" si="5"/>
        <v>3</v>
      </c>
      <c r="P77" s="46">
        <f t="shared" si="6"/>
        <v>0.483</v>
      </c>
      <c r="Q77" s="46">
        <f t="array" ref="Q77">IFS(E77="AA",5,E77="BB",4,E77="CC",3,E77="DD",2, E77="EE",1,E77="DDR",1)</f>
        <v>4</v>
      </c>
      <c r="R77" s="46">
        <f t="shared" si="7"/>
        <v>0.76</v>
      </c>
      <c r="S77" s="46">
        <f t="shared" si="8"/>
        <v>5</v>
      </c>
      <c r="T77" s="46">
        <f t="shared" si="9"/>
        <v>0.25</v>
      </c>
      <c r="U77" s="46">
        <f t="shared" si="10"/>
        <v>1</v>
      </c>
      <c r="V77" s="46">
        <f t="shared" si="11"/>
        <v>0.036</v>
      </c>
      <c r="W77" s="46">
        <v>2.0</v>
      </c>
      <c r="X77" s="46">
        <f t="shared" si="17"/>
        <v>0.134</v>
      </c>
      <c r="Y77" s="46">
        <f t="array" ref="Y77">IFS(
J77="hutan",5,
J77="hutan, sungai",5,
J77="pekarangan",1,
J77="hutan, jalan desa",3,
J77="hutan, kebun sawit",1,
J77="hutan, jalan",3,
J77="sawah",3,
J77="kebun",3,
J77="sawah, kebun",1,
J77="kebun sawit",1,
J77="Lahan GI",5,
J77="kebun sawit, jalan provinsi",1,
J77="lahan kosong",5,
J77="kebun, lahan kosong",3,
J77="jalan desa, kebun sawit",1,
J77="sungai",5
)</f>
        <v>3</v>
      </c>
      <c r="Z77" s="46">
        <f t="shared" si="12"/>
        <v>0.219</v>
      </c>
      <c r="AA77" s="46">
        <f t="shared" si="13"/>
        <v>3.773</v>
      </c>
      <c r="AB77" s="46">
        <f t="shared" si="14"/>
        <v>4</v>
      </c>
    </row>
    <row r="78" ht="14.25" customHeight="1">
      <c r="A78" s="6" t="s">
        <v>269</v>
      </c>
      <c r="B78" s="44">
        <v>2.0</v>
      </c>
      <c r="C78" s="7">
        <v>2.0</v>
      </c>
      <c r="D78" s="44">
        <v>99.0</v>
      </c>
      <c r="E78" s="44" t="s">
        <v>109</v>
      </c>
      <c r="F78" s="44">
        <v>137.61</v>
      </c>
      <c r="G78" s="44">
        <v>2883.78</v>
      </c>
      <c r="H78" s="51">
        <v>383.945</v>
      </c>
      <c r="I78" s="52">
        <f t="shared" si="15"/>
        <v>384</v>
      </c>
      <c r="J78" s="46" t="s">
        <v>470</v>
      </c>
      <c r="K78" s="46">
        <f t="shared" si="1"/>
        <v>3</v>
      </c>
      <c r="L78" s="46">
        <f t="shared" si="2"/>
        <v>0.933</v>
      </c>
      <c r="M78" s="46">
        <f t="shared" si="3"/>
        <v>3</v>
      </c>
      <c r="N78" s="46">
        <f t="shared" si="4"/>
        <v>0.336</v>
      </c>
      <c r="O78" s="46">
        <f t="shared" si="5"/>
        <v>3</v>
      </c>
      <c r="P78" s="46">
        <f t="shared" si="6"/>
        <v>0.483</v>
      </c>
      <c r="Q78" s="46">
        <f t="array" ref="Q78">IFS(E78="AA",5,E78="BB",4,E78="CC",3,E78="DD",2, E78="EE",1,E78="DDR",1)</f>
        <v>4</v>
      </c>
      <c r="R78" s="46">
        <f t="shared" si="7"/>
        <v>0.76</v>
      </c>
      <c r="S78" s="46">
        <f t="shared" si="8"/>
        <v>5</v>
      </c>
      <c r="T78" s="46">
        <f t="shared" si="9"/>
        <v>0.25</v>
      </c>
      <c r="U78" s="46">
        <f t="shared" si="10"/>
        <v>4</v>
      </c>
      <c r="V78" s="46">
        <f t="shared" si="11"/>
        <v>0.144</v>
      </c>
      <c r="W78" s="46">
        <v>2.0</v>
      </c>
      <c r="X78" s="46">
        <f t="shared" si="17"/>
        <v>0.134</v>
      </c>
      <c r="Y78" s="46">
        <f t="array" ref="Y78">IFS(
J78="hutan",5,
J78="hutan, sungai",5,
J78="pekarangan",1,
J78="hutan, jalan desa",3,
J78="hutan, kebun sawit",1,
J78="hutan, jalan",3,
J78="sawah",3,
J78="kebun",3,
J78="sawah, kebun",1,
J78="kebun sawit",1,
J78="Lahan GI",5,
J78="kebun sawit, jalan provinsi",1,
J78="lahan kosong",5,
J78="kebun, lahan kosong",3,
J78="jalan desa, kebun sawit",1,
J78="sungai",5
)</f>
        <v>3</v>
      </c>
      <c r="Z78" s="46">
        <f t="shared" si="12"/>
        <v>0.219</v>
      </c>
      <c r="AA78" s="46">
        <f t="shared" si="13"/>
        <v>3.259</v>
      </c>
      <c r="AB78" s="46">
        <f t="shared" si="14"/>
        <v>3</v>
      </c>
    </row>
    <row r="79" ht="14.25" customHeight="1">
      <c r="A79" s="6" t="s">
        <v>273</v>
      </c>
      <c r="B79" s="44">
        <v>1.0</v>
      </c>
      <c r="C79" s="7">
        <v>2.0</v>
      </c>
      <c r="D79" s="44">
        <v>93.39</v>
      </c>
      <c r="E79" s="44" t="s">
        <v>175</v>
      </c>
      <c r="F79" s="44">
        <v>137.62</v>
      </c>
      <c r="G79" s="44">
        <v>2628.44</v>
      </c>
      <c r="H79" s="51">
        <v>382.023</v>
      </c>
      <c r="I79" s="52">
        <f t="shared" si="15"/>
        <v>382</v>
      </c>
      <c r="J79" s="46" t="s">
        <v>470</v>
      </c>
      <c r="K79" s="46">
        <f t="shared" si="1"/>
        <v>5</v>
      </c>
      <c r="L79" s="46">
        <f t="shared" si="2"/>
        <v>1.555</v>
      </c>
      <c r="M79" s="46">
        <f t="shared" si="3"/>
        <v>3</v>
      </c>
      <c r="N79" s="46">
        <f t="shared" si="4"/>
        <v>0.336</v>
      </c>
      <c r="O79" s="46">
        <f t="shared" si="5"/>
        <v>4</v>
      </c>
      <c r="P79" s="46">
        <f t="shared" si="6"/>
        <v>0.644</v>
      </c>
      <c r="Q79" s="46">
        <f t="array" ref="Q79">IFS(E79="AA",5,E79="BB",4,E79="CC",3,E79="DD",2, E79="EE",1,E79="DDR",1)</f>
        <v>5</v>
      </c>
      <c r="R79" s="46">
        <f t="shared" si="7"/>
        <v>0.95</v>
      </c>
      <c r="S79" s="46">
        <f t="shared" si="8"/>
        <v>5</v>
      </c>
      <c r="T79" s="46">
        <f t="shared" si="9"/>
        <v>0.25</v>
      </c>
      <c r="U79" s="46">
        <f t="shared" si="10"/>
        <v>4</v>
      </c>
      <c r="V79" s="46">
        <f t="shared" si="11"/>
        <v>0.144</v>
      </c>
      <c r="W79" s="46">
        <v>2.0</v>
      </c>
      <c r="X79" s="46">
        <f t="shared" si="17"/>
        <v>0.134</v>
      </c>
      <c r="Y79" s="46">
        <f t="array" ref="Y79">IFS(
J79="hutan",5,
J79="hutan, sungai",5,
J79="pekarangan",1,
J79="hutan, jalan desa",3,
J79="hutan, kebun sawit",1,
J79="hutan, jalan",3,
J79="sawah",3,
J79="kebun",3,
J79="sawah, kebun",1,
J79="kebun sawit",1,
J79="Lahan GI",5,
J79="kebun sawit, jalan provinsi",1,
J79="lahan kosong",5,
J79="kebun, lahan kosong",3,
J79="jalan desa, kebun sawit",1,
J79="sungai",5
)</f>
        <v>3</v>
      </c>
      <c r="Z79" s="46">
        <f t="shared" si="12"/>
        <v>0.219</v>
      </c>
      <c r="AA79" s="46">
        <f t="shared" si="13"/>
        <v>4.232</v>
      </c>
      <c r="AB79" s="46">
        <f t="shared" si="14"/>
        <v>4</v>
      </c>
    </row>
    <row r="80" ht="14.25" customHeight="1">
      <c r="A80" s="6" t="s">
        <v>276</v>
      </c>
      <c r="B80" s="44">
        <v>1.0</v>
      </c>
      <c r="C80" s="7">
        <v>3.0</v>
      </c>
      <c r="D80" s="44">
        <v>90.62</v>
      </c>
      <c r="E80" s="44" t="s">
        <v>175</v>
      </c>
      <c r="F80" s="44">
        <v>141.41</v>
      </c>
      <c r="G80" s="44">
        <v>2462.63</v>
      </c>
      <c r="H80" s="51">
        <v>382.022</v>
      </c>
      <c r="I80" s="52">
        <f t="shared" si="15"/>
        <v>382</v>
      </c>
      <c r="J80" s="46" t="s">
        <v>123</v>
      </c>
      <c r="K80" s="46">
        <f t="shared" si="1"/>
        <v>5</v>
      </c>
      <c r="L80" s="46">
        <f t="shared" si="2"/>
        <v>1.555</v>
      </c>
      <c r="M80" s="46">
        <f t="shared" si="3"/>
        <v>1</v>
      </c>
      <c r="N80" s="46">
        <f t="shared" si="4"/>
        <v>0.112</v>
      </c>
      <c r="O80" s="46">
        <f t="shared" si="5"/>
        <v>4</v>
      </c>
      <c r="P80" s="46">
        <f t="shared" si="6"/>
        <v>0.644</v>
      </c>
      <c r="Q80" s="46">
        <f t="array" ref="Q80">IFS(E80="AA",5,E80="BB",4,E80="CC",3,E80="DD",2, E80="EE",1,E80="DDR",1)</f>
        <v>5</v>
      </c>
      <c r="R80" s="46">
        <f t="shared" si="7"/>
        <v>0.95</v>
      </c>
      <c r="S80" s="46">
        <f t="shared" si="8"/>
        <v>5</v>
      </c>
      <c r="T80" s="46">
        <f t="shared" si="9"/>
        <v>0.25</v>
      </c>
      <c r="U80" s="46">
        <f t="shared" si="10"/>
        <v>4</v>
      </c>
      <c r="V80" s="46">
        <f t="shared" si="11"/>
        <v>0.144</v>
      </c>
      <c r="W80" s="46">
        <v>2.0</v>
      </c>
      <c r="X80" s="46">
        <f t="shared" si="17"/>
        <v>0.134</v>
      </c>
      <c r="Y80" s="46">
        <f t="array" ref="Y80">IFS(
J80="hutan",5,
J80="hutan, sungai",5,
J80="pekarangan",1,
J80="hutan, jalan desa",3,
J80="hutan, kebun sawit",1,
J80="hutan, jalan",3,
J80="sawah",3,
J80="kebun",3,
J80="sawah, kebun",1,
J80="kebun sawit",1,
J80="Lahan GI",5,
J80="kebun sawit, jalan provinsi",1,
J80="lahan kosong",5,
J80="kebun, lahan kosong",3,
J80="jalan desa, kebun sawit",1,
J80="sungai",5
)</f>
        <v>1</v>
      </c>
      <c r="Z80" s="46">
        <f t="shared" si="12"/>
        <v>0.073</v>
      </c>
      <c r="AA80" s="46">
        <f t="shared" si="13"/>
        <v>3.862</v>
      </c>
      <c r="AB80" s="46">
        <f t="shared" si="14"/>
        <v>4</v>
      </c>
    </row>
    <row r="81" ht="14.25" customHeight="1">
      <c r="A81" s="6" t="s">
        <v>280</v>
      </c>
      <c r="B81" s="44">
        <v>1.0</v>
      </c>
      <c r="C81" s="7">
        <v>3.0</v>
      </c>
      <c r="D81" s="44">
        <v>87.75</v>
      </c>
      <c r="E81" s="44" t="s">
        <v>175</v>
      </c>
      <c r="F81" s="44">
        <v>143.04</v>
      </c>
      <c r="G81" s="44">
        <v>2435.17</v>
      </c>
      <c r="H81" s="51">
        <v>373.46</v>
      </c>
      <c r="I81" s="52">
        <f t="shared" si="15"/>
        <v>373</v>
      </c>
      <c r="J81" s="46" t="s">
        <v>123</v>
      </c>
      <c r="K81" s="46">
        <f t="shared" si="1"/>
        <v>5</v>
      </c>
      <c r="L81" s="46">
        <f t="shared" si="2"/>
        <v>1.555</v>
      </c>
      <c r="M81" s="46">
        <f t="shared" si="3"/>
        <v>1</v>
      </c>
      <c r="N81" s="46">
        <f t="shared" si="4"/>
        <v>0.112</v>
      </c>
      <c r="O81" s="46">
        <f t="shared" si="5"/>
        <v>4</v>
      </c>
      <c r="P81" s="46">
        <f t="shared" si="6"/>
        <v>0.644</v>
      </c>
      <c r="Q81" s="46">
        <f t="array" ref="Q81">IFS(E81="AA",5,E81="BB",4,E81="CC",3,E81="DD",2, E81="EE",1,E81="DDR",1)</f>
        <v>5</v>
      </c>
      <c r="R81" s="46">
        <f t="shared" si="7"/>
        <v>0.95</v>
      </c>
      <c r="S81" s="46">
        <f t="shared" si="8"/>
        <v>5</v>
      </c>
      <c r="T81" s="46">
        <f t="shared" si="9"/>
        <v>0.25</v>
      </c>
      <c r="U81" s="46">
        <f t="shared" si="10"/>
        <v>4</v>
      </c>
      <c r="V81" s="46">
        <f t="shared" si="11"/>
        <v>0.144</v>
      </c>
      <c r="W81" s="46">
        <v>2.0</v>
      </c>
      <c r="X81" s="46">
        <f t="shared" si="17"/>
        <v>0.134</v>
      </c>
      <c r="Y81" s="46">
        <f t="array" ref="Y81">IFS(
J81="hutan",5,
J81="hutan, sungai",5,
J81="pekarangan",1,
J81="hutan, jalan desa",3,
J81="hutan, kebun sawit",1,
J81="hutan, jalan",3,
J81="sawah",3,
J81="kebun",3,
J81="sawah, kebun",1,
J81="kebun sawit",1,
J81="Lahan GI",5,
J81="kebun sawit, jalan provinsi",1,
J81="lahan kosong",5,
J81="kebun, lahan kosong",3,
J81="jalan desa, kebun sawit",1,
J81="sungai",5
)</f>
        <v>1</v>
      </c>
      <c r="Z81" s="46">
        <f t="shared" si="12"/>
        <v>0.073</v>
      </c>
      <c r="AA81" s="46">
        <f t="shared" si="13"/>
        <v>3.862</v>
      </c>
      <c r="AB81" s="46">
        <f t="shared" si="14"/>
        <v>4</v>
      </c>
    </row>
    <row r="82" ht="14.25" customHeight="1">
      <c r="A82" s="6" t="s">
        <v>283</v>
      </c>
      <c r="B82" s="44">
        <v>1.0</v>
      </c>
      <c r="C82" s="7">
        <v>3.0</v>
      </c>
      <c r="D82" s="44">
        <v>84.03</v>
      </c>
      <c r="E82" s="44" t="s">
        <v>175</v>
      </c>
      <c r="F82" s="44">
        <v>143.97</v>
      </c>
      <c r="G82" s="44">
        <v>2175.36</v>
      </c>
      <c r="H82" s="51">
        <v>371.198</v>
      </c>
      <c r="I82" s="52">
        <f t="shared" si="15"/>
        <v>371</v>
      </c>
      <c r="J82" s="46" t="s">
        <v>123</v>
      </c>
      <c r="K82" s="46">
        <f t="shared" si="1"/>
        <v>5</v>
      </c>
      <c r="L82" s="46">
        <f t="shared" si="2"/>
        <v>1.555</v>
      </c>
      <c r="M82" s="46">
        <f t="shared" si="3"/>
        <v>1</v>
      </c>
      <c r="N82" s="46">
        <f t="shared" si="4"/>
        <v>0.112</v>
      </c>
      <c r="O82" s="46">
        <f t="shared" si="5"/>
        <v>4</v>
      </c>
      <c r="P82" s="46">
        <f t="shared" si="6"/>
        <v>0.644</v>
      </c>
      <c r="Q82" s="46">
        <f t="array" ref="Q82">IFS(E82="AA",5,E82="BB",4,E82="CC",3,E82="DD",2, E82="EE",1,E82="DDR",1)</f>
        <v>5</v>
      </c>
      <c r="R82" s="46">
        <f t="shared" si="7"/>
        <v>0.95</v>
      </c>
      <c r="S82" s="46">
        <f t="shared" si="8"/>
        <v>5</v>
      </c>
      <c r="T82" s="46">
        <f t="shared" si="9"/>
        <v>0.25</v>
      </c>
      <c r="U82" s="46">
        <f t="shared" si="10"/>
        <v>3</v>
      </c>
      <c r="V82" s="46">
        <f t="shared" si="11"/>
        <v>0.108</v>
      </c>
      <c r="W82" s="46">
        <v>2.0</v>
      </c>
      <c r="X82" s="46">
        <f t="shared" si="17"/>
        <v>0.134</v>
      </c>
      <c r="Y82" s="46">
        <f t="array" ref="Y82">IFS(
J82="hutan",5,
J82="hutan, sungai",5,
J82="pekarangan",1,
J82="hutan, jalan desa",3,
J82="hutan, kebun sawit",1,
J82="hutan, jalan",3,
J82="sawah",3,
J82="kebun",3,
J82="sawah, kebun",1,
J82="kebun sawit",1,
J82="Lahan GI",5,
J82="kebun sawit, jalan provinsi",1,
J82="lahan kosong",5,
J82="kebun, lahan kosong",3,
J82="jalan desa, kebun sawit",1,
J82="sungai",5
)</f>
        <v>1</v>
      </c>
      <c r="Z82" s="46">
        <f t="shared" si="12"/>
        <v>0.073</v>
      </c>
      <c r="AA82" s="46">
        <f t="shared" si="13"/>
        <v>3.826</v>
      </c>
      <c r="AB82" s="46">
        <f t="shared" si="14"/>
        <v>4</v>
      </c>
    </row>
    <row r="83" ht="14.25" customHeight="1">
      <c r="A83" s="6" t="s">
        <v>287</v>
      </c>
      <c r="B83" s="44">
        <v>2.0</v>
      </c>
      <c r="C83" s="7">
        <v>3.0</v>
      </c>
      <c r="D83" s="44">
        <v>79.67</v>
      </c>
      <c r="E83" s="44" t="s">
        <v>109</v>
      </c>
      <c r="F83" s="44">
        <v>122.04</v>
      </c>
      <c r="G83" s="44">
        <v>161.45</v>
      </c>
      <c r="H83" s="51">
        <v>316.007</v>
      </c>
      <c r="I83" s="52">
        <f t="shared" si="15"/>
        <v>316</v>
      </c>
      <c r="J83" s="46" t="s">
        <v>445</v>
      </c>
      <c r="K83" s="46">
        <f t="shared" si="1"/>
        <v>3</v>
      </c>
      <c r="L83" s="46">
        <f t="shared" si="2"/>
        <v>0.933</v>
      </c>
      <c r="M83" s="46">
        <f t="shared" si="3"/>
        <v>1</v>
      </c>
      <c r="N83" s="46">
        <f t="shared" si="4"/>
        <v>0.112</v>
      </c>
      <c r="O83" s="46">
        <f t="shared" si="5"/>
        <v>4</v>
      </c>
      <c r="P83" s="46">
        <f t="shared" si="6"/>
        <v>0.644</v>
      </c>
      <c r="Q83" s="46">
        <f t="array" ref="Q83">IFS(E83="AA",5,E83="BB",4,E83="CC",3,E83="DD",2, E83="EE",1,E83="DDR",1)</f>
        <v>4</v>
      </c>
      <c r="R83" s="46">
        <f t="shared" si="7"/>
        <v>0.76</v>
      </c>
      <c r="S83" s="46">
        <f t="shared" si="8"/>
        <v>5</v>
      </c>
      <c r="T83" s="46">
        <f t="shared" si="9"/>
        <v>0.25</v>
      </c>
      <c r="U83" s="46">
        <f t="shared" si="10"/>
        <v>1</v>
      </c>
      <c r="V83" s="46">
        <f t="shared" si="11"/>
        <v>0.036</v>
      </c>
      <c r="W83" s="46">
        <f>MAX(1,MIN(5,
ROUND(5-(ABS(H83-275)/(275-100)*4),0)
))</f>
        <v>4</v>
      </c>
      <c r="X83" s="46">
        <f t="shared" si="17"/>
        <v>0.268</v>
      </c>
      <c r="Y83" s="46">
        <f t="array" ref="Y83">IFS(
J83="hutan",5,
J83="hutan, sungai",5,
J83="pekarangan",1,
J83="hutan, jalan desa",3,
J83="hutan, kebun sawit",1,
J83="hutan, jalan",3,
J83="sawah",3,
J83="kebun",3,
J83="sawah, kebun",1,
J83="kebun sawit",1,
J83="Lahan GI",5,
J83="kebun sawit, jalan provinsi",1,
J83="lahan kosong",5,
J83="kebun, lahan kosong",3,
J83="jalan desa, kebun sawit",1,
J83="sungai",5
)</f>
        <v>1</v>
      </c>
      <c r="Z83" s="46">
        <f t="shared" si="12"/>
        <v>0.073</v>
      </c>
      <c r="AA83" s="46">
        <f t="shared" si="13"/>
        <v>3.076</v>
      </c>
      <c r="AB83" s="46">
        <f t="shared" si="14"/>
        <v>3</v>
      </c>
    </row>
    <row r="84" ht="14.25" customHeight="1">
      <c r="A84" s="6" t="s">
        <v>290</v>
      </c>
      <c r="B84" s="44">
        <v>1.0</v>
      </c>
      <c r="C84" s="7">
        <v>3.0</v>
      </c>
      <c r="D84" s="44">
        <v>78.0</v>
      </c>
      <c r="E84" s="44" t="s">
        <v>175</v>
      </c>
      <c r="F84" s="44">
        <v>128.16</v>
      </c>
      <c r="G84" s="44">
        <v>1839.36</v>
      </c>
      <c r="H84" s="51">
        <v>380.725</v>
      </c>
      <c r="I84" s="52">
        <f t="shared" si="15"/>
        <v>381</v>
      </c>
      <c r="J84" s="46" t="s">
        <v>445</v>
      </c>
      <c r="K84" s="46">
        <f t="shared" si="1"/>
        <v>5</v>
      </c>
      <c r="L84" s="46">
        <f t="shared" si="2"/>
        <v>1.555</v>
      </c>
      <c r="M84" s="46">
        <f t="shared" si="3"/>
        <v>1</v>
      </c>
      <c r="N84" s="46">
        <f t="shared" si="4"/>
        <v>0.112</v>
      </c>
      <c r="O84" s="46">
        <f t="shared" si="5"/>
        <v>4</v>
      </c>
      <c r="P84" s="46">
        <f t="shared" si="6"/>
        <v>0.644</v>
      </c>
      <c r="Q84" s="46">
        <f t="array" ref="Q84">IFS(E84="AA",5,E84="BB",4,E84="CC",3,E84="DD",2, E84="EE",1,E84="DDR",1)</f>
        <v>5</v>
      </c>
      <c r="R84" s="46">
        <f t="shared" si="7"/>
        <v>0.95</v>
      </c>
      <c r="S84" s="46">
        <f t="shared" si="8"/>
        <v>5</v>
      </c>
      <c r="T84" s="46">
        <f t="shared" si="9"/>
        <v>0.25</v>
      </c>
      <c r="U84" s="46">
        <f t="shared" si="10"/>
        <v>3</v>
      </c>
      <c r="V84" s="46">
        <f t="shared" si="11"/>
        <v>0.108</v>
      </c>
      <c r="W84" s="46">
        <v>2.0</v>
      </c>
      <c r="X84" s="46">
        <f t="shared" si="17"/>
        <v>0.134</v>
      </c>
      <c r="Y84" s="46">
        <f t="array" ref="Y84">IFS(
J84="hutan",5,
J84="hutan, sungai",5,
J84="pekarangan",1,
J84="hutan, jalan desa",3,
J84="hutan, kebun sawit",1,
J84="hutan, jalan",3,
J84="sawah",3,
J84="kebun",3,
J84="sawah, kebun",1,
J84="kebun sawit",1,
J84="Lahan GI",5,
J84="kebun sawit, jalan provinsi",1,
J84="lahan kosong",5,
J84="kebun, lahan kosong",3,
J84="jalan desa, kebun sawit",1,
J84="sungai",5
)</f>
        <v>1</v>
      </c>
      <c r="Z84" s="46">
        <f t="shared" si="12"/>
        <v>0.073</v>
      </c>
      <c r="AA84" s="46">
        <f t="shared" si="13"/>
        <v>3.826</v>
      </c>
      <c r="AB84" s="46">
        <f t="shared" si="14"/>
        <v>4</v>
      </c>
    </row>
    <row r="85" ht="14.25" customHeight="1">
      <c r="A85" s="6" t="s">
        <v>293</v>
      </c>
      <c r="B85" s="44">
        <v>1.0</v>
      </c>
      <c r="C85" s="7">
        <v>3.0</v>
      </c>
      <c r="D85" s="44">
        <v>73.45</v>
      </c>
      <c r="E85" s="44" t="s">
        <v>175</v>
      </c>
      <c r="F85" s="44">
        <v>125.91</v>
      </c>
      <c r="G85" s="44">
        <v>1441.6</v>
      </c>
      <c r="H85" s="51">
        <v>380.721</v>
      </c>
      <c r="I85" s="52">
        <f t="shared" si="15"/>
        <v>381</v>
      </c>
      <c r="J85" s="46" t="s">
        <v>445</v>
      </c>
      <c r="K85" s="46">
        <f t="shared" si="1"/>
        <v>5</v>
      </c>
      <c r="L85" s="46">
        <f t="shared" si="2"/>
        <v>1.555</v>
      </c>
      <c r="M85" s="46">
        <f t="shared" si="3"/>
        <v>1</v>
      </c>
      <c r="N85" s="46">
        <f t="shared" si="4"/>
        <v>0.112</v>
      </c>
      <c r="O85" s="46">
        <f t="shared" si="5"/>
        <v>4</v>
      </c>
      <c r="P85" s="46">
        <f t="shared" si="6"/>
        <v>0.644</v>
      </c>
      <c r="Q85" s="46">
        <f t="array" ref="Q85">IFS(E85="AA",5,E85="BB",4,E85="CC",3,E85="DD",2, E85="EE",1,E85="DDR",1)</f>
        <v>5</v>
      </c>
      <c r="R85" s="46">
        <f t="shared" si="7"/>
        <v>0.95</v>
      </c>
      <c r="S85" s="46">
        <f t="shared" si="8"/>
        <v>5</v>
      </c>
      <c r="T85" s="46">
        <f t="shared" si="9"/>
        <v>0.25</v>
      </c>
      <c r="U85" s="46">
        <f t="shared" si="10"/>
        <v>3</v>
      </c>
      <c r="V85" s="46">
        <f t="shared" si="11"/>
        <v>0.108</v>
      </c>
      <c r="W85" s="46">
        <v>2.0</v>
      </c>
      <c r="X85" s="46">
        <f t="shared" si="17"/>
        <v>0.134</v>
      </c>
      <c r="Y85" s="46">
        <f t="array" ref="Y85">IFS(
J85="hutan",5,
J85="hutan, sungai",5,
J85="pekarangan",1,
J85="hutan, jalan desa",3,
J85="hutan, kebun sawit",1,
J85="hutan, jalan",3,
J85="sawah",3,
J85="kebun",3,
J85="sawah, kebun",1,
J85="kebun sawit",1,
J85="Lahan GI",5,
J85="kebun sawit, jalan provinsi",1,
J85="lahan kosong",5,
J85="kebun, lahan kosong",3,
J85="jalan desa, kebun sawit",1,
J85="sungai",5
)</f>
        <v>1</v>
      </c>
      <c r="Z85" s="46">
        <f t="shared" si="12"/>
        <v>0.073</v>
      </c>
      <c r="AA85" s="46">
        <f t="shared" si="13"/>
        <v>3.826</v>
      </c>
      <c r="AB85" s="46">
        <f t="shared" si="14"/>
        <v>4</v>
      </c>
    </row>
    <row r="86" ht="14.25" customHeight="1">
      <c r="A86" s="6" t="s">
        <v>296</v>
      </c>
      <c r="B86" s="44">
        <v>1.0</v>
      </c>
      <c r="C86" s="7">
        <v>3.0</v>
      </c>
      <c r="D86" s="44">
        <v>68.54</v>
      </c>
      <c r="E86" s="44" t="s">
        <v>175</v>
      </c>
      <c r="F86" s="44">
        <v>181.99</v>
      </c>
      <c r="G86" s="44">
        <v>1080.51</v>
      </c>
      <c r="H86" s="51">
        <v>383.324</v>
      </c>
      <c r="I86" s="52">
        <f t="shared" si="15"/>
        <v>383</v>
      </c>
      <c r="J86" s="46" t="s">
        <v>445</v>
      </c>
      <c r="K86" s="46">
        <f t="shared" si="1"/>
        <v>5</v>
      </c>
      <c r="L86" s="46">
        <f t="shared" si="2"/>
        <v>1.555</v>
      </c>
      <c r="M86" s="46">
        <f t="shared" si="3"/>
        <v>1</v>
      </c>
      <c r="N86" s="46">
        <f t="shared" si="4"/>
        <v>0.112</v>
      </c>
      <c r="O86" s="46">
        <f t="shared" si="5"/>
        <v>4</v>
      </c>
      <c r="P86" s="46">
        <f t="shared" si="6"/>
        <v>0.644</v>
      </c>
      <c r="Q86" s="46">
        <f t="array" ref="Q86">IFS(E86="AA",5,E86="BB",4,E86="CC",3,E86="DD",2, E86="EE",1,E86="DDR",1)</f>
        <v>5</v>
      </c>
      <c r="R86" s="46">
        <f t="shared" si="7"/>
        <v>0.95</v>
      </c>
      <c r="S86" s="46">
        <f t="shared" si="8"/>
        <v>4</v>
      </c>
      <c r="T86" s="46">
        <f t="shared" si="9"/>
        <v>0.2</v>
      </c>
      <c r="U86" s="46">
        <f t="shared" si="10"/>
        <v>2</v>
      </c>
      <c r="V86" s="46">
        <f t="shared" si="11"/>
        <v>0.072</v>
      </c>
      <c r="W86" s="46">
        <v>2.0</v>
      </c>
      <c r="X86" s="46">
        <f t="shared" si="17"/>
        <v>0.134</v>
      </c>
      <c r="Y86" s="46">
        <f t="array" ref="Y86">IFS(
J86="hutan",5,
J86="hutan, sungai",5,
J86="pekarangan",1,
J86="hutan, jalan desa",3,
J86="hutan, kebun sawit",1,
J86="hutan, jalan",3,
J86="sawah",3,
J86="kebun",3,
J86="sawah, kebun",1,
J86="kebun sawit",1,
J86="Lahan GI",5,
J86="kebun sawit, jalan provinsi",1,
J86="lahan kosong",5,
J86="kebun, lahan kosong",3,
J86="jalan desa, kebun sawit",1,
J86="sungai",5
)</f>
        <v>1</v>
      </c>
      <c r="Z86" s="46">
        <f t="shared" si="12"/>
        <v>0.073</v>
      </c>
      <c r="AA86" s="46">
        <f t="shared" si="13"/>
        <v>3.74</v>
      </c>
      <c r="AB86" s="46">
        <f t="shared" si="14"/>
        <v>4</v>
      </c>
    </row>
    <row r="87" ht="14.25" customHeight="1">
      <c r="A87" s="6" t="s">
        <v>299</v>
      </c>
      <c r="B87" s="44">
        <v>1.0</v>
      </c>
      <c r="C87" s="7">
        <v>3.0</v>
      </c>
      <c r="D87" s="44">
        <v>65.36</v>
      </c>
      <c r="E87" s="44" t="s">
        <v>175</v>
      </c>
      <c r="F87" s="44">
        <v>173.27</v>
      </c>
      <c r="G87" s="44">
        <v>732.17</v>
      </c>
      <c r="H87" s="51">
        <v>342.638</v>
      </c>
      <c r="I87" s="52">
        <f t="shared" si="15"/>
        <v>343</v>
      </c>
      <c r="J87" s="46" t="s">
        <v>445</v>
      </c>
      <c r="K87" s="46">
        <f t="shared" si="1"/>
        <v>5</v>
      </c>
      <c r="L87" s="46">
        <f t="shared" si="2"/>
        <v>1.555</v>
      </c>
      <c r="M87" s="46">
        <f t="shared" si="3"/>
        <v>1</v>
      </c>
      <c r="N87" s="46">
        <f t="shared" si="4"/>
        <v>0.112</v>
      </c>
      <c r="O87" s="46">
        <f t="shared" si="5"/>
        <v>4</v>
      </c>
      <c r="P87" s="46">
        <f t="shared" si="6"/>
        <v>0.644</v>
      </c>
      <c r="Q87" s="46">
        <f t="array" ref="Q87">IFS(E87="AA",5,E87="BB",4,E87="CC",3,E87="DD",2, E87="EE",1,E87="DDR",1)</f>
        <v>5</v>
      </c>
      <c r="R87" s="46">
        <f t="shared" si="7"/>
        <v>0.95</v>
      </c>
      <c r="S87" s="46">
        <f t="shared" si="8"/>
        <v>5</v>
      </c>
      <c r="T87" s="46">
        <f t="shared" si="9"/>
        <v>0.25</v>
      </c>
      <c r="U87" s="46">
        <f t="shared" si="10"/>
        <v>2</v>
      </c>
      <c r="V87" s="46">
        <f t="shared" si="11"/>
        <v>0.072</v>
      </c>
      <c r="W87" s="46">
        <f t="shared" ref="W87:W105" si="22">MAX(1,MIN(5,
ROUND(5-(ABS(H87-275)/(275-100)*4),0)
))</f>
        <v>3</v>
      </c>
      <c r="X87" s="46">
        <f t="shared" si="17"/>
        <v>0.201</v>
      </c>
      <c r="Y87" s="46">
        <f t="array" ref="Y87">IFS(
J87="hutan",5,
J87="hutan, sungai",5,
J87="pekarangan",1,
J87="hutan, jalan desa",3,
J87="hutan, kebun sawit",1,
J87="hutan, jalan",3,
J87="sawah",3,
J87="kebun",3,
J87="sawah, kebun",1,
J87="kebun sawit",1,
J87="Lahan GI",5,
J87="kebun sawit, jalan provinsi",1,
J87="lahan kosong",5,
J87="kebun, lahan kosong",3,
J87="jalan desa, kebun sawit",1,
J87="sungai",5
)</f>
        <v>1</v>
      </c>
      <c r="Z87" s="46">
        <f t="shared" si="12"/>
        <v>0.073</v>
      </c>
      <c r="AA87" s="46">
        <f t="shared" si="13"/>
        <v>3.857</v>
      </c>
      <c r="AB87" s="46">
        <f t="shared" si="14"/>
        <v>4</v>
      </c>
    </row>
    <row r="88" ht="14.25" customHeight="1">
      <c r="A88" s="6" t="s">
        <v>302</v>
      </c>
      <c r="B88" s="44">
        <v>1.0</v>
      </c>
      <c r="C88" s="7">
        <v>3.0</v>
      </c>
      <c r="D88" s="44">
        <v>62.19</v>
      </c>
      <c r="E88" s="44" t="s">
        <v>175</v>
      </c>
      <c r="F88" s="44">
        <v>200.94</v>
      </c>
      <c r="G88" s="44">
        <v>407.68</v>
      </c>
      <c r="H88" s="51">
        <v>336.974</v>
      </c>
      <c r="I88" s="52">
        <f t="shared" si="15"/>
        <v>337</v>
      </c>
      <c r="J88" s="46" t="s">
        <v>445</v>
      </c>
      <c r="K88" s="46">
        <f t="shared" si="1"/>
        <v>5</v>
      </c>
      <c r="L88" s="46">
        <f t="shared" si="2"/>
        <v>1.555</v>
      </c>
      <c r="M88" s="46">
        <f t="shared" si="3"/>
        <v>1</v>
      </c>
      <c r="N88" s="46">
        <f t="shared" si="4"/>
        <v>0.112</v>
      </c>
      <c r="O88" s="46">
        <f t="shared" si="5"/>
        <v>4</v>
      </c>
      <c r="P88" s="46">
        <f t="shared" si="6"/>
        <v>0.644</v>
      </c>
      <c r="Q88" s="46">
        <f t="array" ref="Q88">IFS(E88="AA",5,E88="BB",4,E88="CC",3,E88="DD",2, E88="EE",1,E88="DDR",1)</f>
        <v>5</v>
      </c>
      <c r="R88" s="46">
        <f t="shared" si="7"/>
        <v>0.95</v>
      </c>
      <c r="S88" s="46">
        <f t="shared" si="8"/>
        <v>4</v>
      </c>
      <c r="T88" s="46">
        <f t="shared" si="9"/>
        <v>0.2</v>
      </c>
      <c r="U88" s="46">
        <f t="shared" si="10"/>
        <v>1</v>
      </c>
      <c r="V88" s="46">
        <f t="shared" si="11"/>
        <v>0.036</v>
      </c>
      <c r="W88" s="46">
        <f t="shared" si="22"/>
        <v>4</v>
      </c>
      <c r="X88" s="46">
        <f t="shared" si="17"/>
        <v>0.268</v>
      </c>
      <c r="Y88" s="46">
        <f t="array" ref="Y88">IFS(
J88="hutan",5,
J88="hutan, sungai",5,
J88="pekarangan",1,
J88="hutan, jalan desa",3,
J88="hutan, kebun sawit",1,
J88="hutan, jalan",3,
J88="sawah",3,
J88="kebun",3,
J88="sawah, kebun",1,
J88="kebun sawit",1,
J88="Lahan GI",5,
J88="kebun sawit, jalan provinsi",1,
J88="lahan kosong",5,
J88="kebun, lahan kosong",3,
J88="jalan desa, kebun sawit",1,
J88="sungai",5
)</f>
        <v>1</v>
      </c>
      <c r="Z88" s="46">
        <f t="shared" si="12"/>
        <v>0.073</v>
      </c>
      <c r="AA88" s="46">
        <f t="shared" si="13"/>
        <v>3.838</v>
      </c>
      <c r="AB88" s="46">
        <f t="shared" si="14"/>
        <v>4</v>
      </c>
    </row>
    <row r="89" ht="14.25" customHeight="1">
      <c r="A89" s="6" t="s">
        <v>305</v>
      </c>
      <c r="B89" s="44">
        <v>2.0</v>
      </c>
      <c r="C89" s="7">
        <v>3.0</v>
      </c>
      <c r="D89" s="44">
        <v>62.46</v>
      </c>
      <c r="E89" s="44" t="s">
        <v>109</v>
      </c>
      <c r="F89" s="44">
        <v>212.22</v>
      </c>
      <c r="G89" s="44">
        <v>67.36</v>
      </c>
      <c r="H89" s="51">
        <v>330.631</v>
      </c>
      <c r="I89" s="52">
        <f t="shared" si="15"/>
        <v>331</v>
      </c>
      <c r="J89" s="46" t="s">
        <v>123</v>
      </c>
      <c r="K89" s="46">
        <f t="shared" si="1"/>
        <v>3</v>
      </c>
      <c r="L89" s="46">
        <f t="shared" si="2"/>
        <v>0.933</v>
      </c>
      <c r="M89" s="46">
        <f t="shared" si="3"/>
        <v>1</v>
      </c>
      <c r="N89" s="46">
        <f t="shared" si="4"/>
        <v>0.112</v>
      </c>
      <c r="O89" s="46">
        <f t="shared" si="5"/>
        <v>4</v>
      </c>
      <c r="P89" s="46">
        <f t="shared" si="6"/>
        <v>0.644</v>
      </c>
      <c r="Q89" s="46">
        <f t="array" ref="Q89">IFS(E89="AA",5,E89="BB",4,E89="CC",3,E89="DD",2, E89="EE",1,E89="DDR",1)</f>
        <v>4</v>
      </c>
      <c r="R89" s="46">
        <f t="shared" si="7"/>
        <v>0.76</v>
      </c>
      <c r="S89" s="46">
        <f t="shared" si="8"/>
        <v>4</v>
      </c>
      <c r="T89" s="46">
        <f t="shared" si="9"/>
        <v>0.2</v>
      </c>
      <c r="U89" s="46">
        <f t="shared" si="10"/>
        <v>1</v>
      </c>
      <c r="V89" s="46">
        <f t="shared" si="11"/>
        <v>0.036</v>
      </c>
      <c r="W89" s="46">
        <f t="shared" si="22"/>
        <v>4</v>
      </c>
      <c r="X89" s="46">
        <f t="shared" si="17"/>
        <v>0.268</v>
      </c>
      <c r="Y89" s="46">
        <f t="array" ref="Y89">IFS(
J89="hutan",5,
J89="hutan, sungai",5,
J89="pekarangan",1,
J89="hutan, jalan desa",3,
J89="hutan, kebun sawit",1,
J89="hutan, jalan",3,
J89="sawah",3,
J89="kebun",3,
J89="sawah, kebun",1,
J89="kebun sawit",1,
J89="Lahan GI",5,
J89="kebun sawit, jalan provinsi",1,
J89="lahan kosong",5,
J89="kebun, lahan kosong",3,
J89="jalan desa, kebun sawit",1,
J89="sungai",5
)</f>
        <v>1</v>
      </c>
      <c r="Z89" s="46">
        <f t="shared" si="12"/>
        <v>0.073</v>
      </c>
      <c r="AA89" s="46">
        <f t="shared" si="13"/>
        <v>3.026</v>
      </c>
      <c r="AB89" s="46">
        <f t="shared" si="14"/>
        <v>3</v>
      </c>
    </row>
    <row r="90" ht="14.25" customHeight="1">
      <c r="A90" s="6" t="s">
        <v>308</v>
      </c>
      <c r="B90" s="44">
        <v>2.0</v>
      </c>
      <c r="C90" s="7">
        <v>3.0</v>
      </c>
      <c r="D90" s="44">
        <v>59.94</v>
      </c>
      <c r="E90" s="44" t="s">
        <v>109</v>
      </c>
      <c r="F90" s="44">
        <v>174.33</v>
      </c>
      <c r="G90" s="44">
        <v>231.43</v>
      </c>
      <c r="H90" s="51">
        <v>329.944</v>
      </c>
      <c r="I90" s="52">
        <f t="shared" si="15"/>
        <v>330</v>
      </c>
      <c r="J90" s="46" t="s">
        <v>454</v>
      </c>
      <c r="K90" s="46">
        <f t="shared" si="1"/>
        <v>3</v>
      </c>
      <c r="L90" s="46">
        <f t="shared" si="2"/>
        <v>0.933</v>
      </c>
      <c r="M90" s="46">
        <f t="shared" si="3"/>
        <v>1</v>
      </c>
      <c r="N90" s="46">
        <f t="shared" si="4"/>
        <v>0.112</v>
      </c>
      <c r="O90" s="46">
        <f t="shared" si="5"/>
        <v>4</v>
      </c>
      <c r="P90" s="46">
        <f t="shared" si="6"/>
        <v>0.644</v>
      </c>
      <c r="Q90" s="46">
        <f t="array" ref="Q90">IFS(E90="AA",5,E90="BB",4,E90="CC",3,E90="DD",2, E90="EE",1,E90="DDR",1)</f>
        <v>4</v>
      </c>
      <c r="R90" s="46">
        <f t="shared" si="7"/>
        <v>0.76</v>
      </c>
      <c r="S90" s="46">
        <f t="shared" si="8"/>
        <v>5</v>
      </c>
      <c r="T90" s="46">
        <f t="shared" si="9"/>
        <v>0.25</v>
      </c>
      <c r="U90" s="46">
        <f t="shared" si="10"/>
        <v>1</v>
      </c>
      <c r="V90" s="46">
        <f t="shared" si="11"/>
        <v>0.036</v>
      </c>
      <c r="W90" s="46">
        <f t="shared" si="22"/>
        <v>4</v>
      </c>
      <c r="X90" s="46">
        <f t="shared" si="17"/>
        <v>0.268</v>
      </c>
      <c r="Y90" s="46">
        <f t="array" ref="Y90">IFS(
J90="hutan",5,
J90="hutan, sungai",5,
J90="pekarangan",1,
J90="hutan, jalan desa",3,
J90="hutan, kebun sawit",1,
J90="hutan, jalan",3,
J90="sawah",3,
J90="kebun",3,
J90="sawah, kebun",1,
J90="kebun sawit",1,
J90="Lahan GI",5,
J90="kebun sawit, jalan provinsi",1,
J90="lahan kosong",5,
J90="kebun, lahan kosong",3,
J90="jalan desa, kebun sawit",1,
J90="sungai",5
)</f>
        <v>1</v>
      </c>
      <c r="Z90" s="46">
        <f t="shared" si="12"/>
        <v>0.073</v>
      </c>
      <c r="AA90" s="46">
        <f t="shared" si="13"/>
        <v>3.076</v>
      </c>
      <c r="AB90" s="46">
        <f t="shared" si="14"/>
        <v>3</v>
      </c>
    </row>
    <row r="91" ht="14.25" customHeight="1">
      <c r="A91" s="6" t="s">
        <v>311</v>
      </c>
      <c r="B91" s="44">
        <v>3.0</v>
      </c>
      <c r="C91" s="7">
        <v>3.0</v>
      </c>
      <c r="D91" s="44">
        <v>59.76</v>
      </c>
      <c r="E91" s="44" t="s">
        <v>463</v>
      </c>
      <c r="F91" s="44">
        <v>115.3</v>
      </c>
      <c r="G91" s="44">
        <v>528.49</v>
      </c>
      <c r="H91" s="51">
        <v>315.02</v>
      </c>
      <c r="I91" s="52">
        <f t="shared" si="15"/>
        <v>315</v>
      </c>
      <c r="J91" s="46" t="s">
        <v>123</v>
      </c>
      <c r="K91" s="46">
        <f t="shared" si="1"/>
        <v>1</v>
      </c>
      <c r="L91" s="46">
        <f t="shared" si="2"/>
        <v>0.311</v>
      </c>
      <c r="M91" s="46">
        <f t="shared" si="3"/>
        <v>1</v>
      </c>
      <c r="N91" s="46">
        <f t="shared" si="4"/>
        <v>0.112</v>
      </c>
      <c r="O91" s="46">
        <f t="shared" si="5"/>
        <v>4</v>
      </c>
      <c r="P91" s="46">
        <f t="shared" si="6"/>
        <v>0.644</v>
      </c>
      <c r="Q91" s="46">
        <f t="array" ref="Q91">IFS(E91="AA",5,E91="BB",4,E91="CC",3,E91="DD",2, E91="EE",1,E91="DDR",1)</f>
        <v>2</v>
      </c>
      <c r="R91" s="46">
        <f t="shared" si="7"/>
        <v>0.38</v>
      </c>
      <c r="S91" s="46">
        <f t="shared" si="8"/>
        <v>5</v>
      </c>
      <c r="T91" s="46">
        <f t="shared" si="9"/>
        <v>0.25</v>
      </c>
      <c r="U91" s="46">
        <f t="shared" si="10"/>
        <v>2</v>
      </c>
      <c r="V91" s="46">
        <f t="shared" si="11"/>
        <v>0.072</v>
      </c>
      <c r="W91" s="46">
        <f t="shared" si="22"/>
        <v>4</v>
      </c>
      <c r="X91" s="46">
        <f t="shared" si="17"/>
        <v>0.268</v>
      </c>
      <c r="Y91" s="46">
        <f t="array" ref="Y91">IFS(
J91="hutan",5,
J91="hutan, sungai",5,
J91="pekarangan",1,
J91="hutan, jalan desa",3,
J91="hutan, kebun sawit",1,
J91="hutan, jalan",3,
J91="sawah",3,
J91="kebun",3,
J91="sawah, kebun",1,
J91="kebun sawit",1,
J91="Lahan GI",5,
J91="kebun sawit, jalan provinsi",1,
J91="lahan kosong",5,
J91="kebun, lahan kosong",3,
J91="jalan desa, kebun sawit",1,
J91="sungai",5
)</f>
        <v>1</v>
      </c>
      <c r="Z91" s="46">
        <f t="shared" si="12"/>
        <v>0.073</v>
      </c>
      <c r="AA91" s="46">
        <f t="shared" si="13"/>
        <v>2.11</v>
      </c>
      <c r="AB91" s="46">
        <f t="shared" si="14"/>
        <v>2</v>
      </c>
    </row>
    <row r="92" ht="14.25" customHeight="1">
      <c r="A92" s="6" t="s">
        <v>314</v>
      </c>
      <c r="B92" s="44">
        <v>1.0</v>
      </c>
      <c r="C92" s="7">
        <v>2.0</v>
      </c>
      <c r="D92" s="44">
        <v>63.49</v>
      </c>
      <c r="E92" s="44" t="s">
        <v>175</v>
      </c>
      <c r="F92" s="44">
        <v>156.77</v>
      </c>
      <c r="G92" s="44">
        <v>771.61</v>
      </c>
      <c r="H92" s="51">
        <v>309.347</v>
      </c>
      <c r="I92" s="52">
        <f t="shared" si="15"/>
        <v>309</v>
      </c>
      <c r="J92" s="46" t="s">
        <v>474</v>
      </c>
      <c r="K92" s="46">
        <f t="shared" si="1"/>
        <v>5</v>
      </c>
      <c r="L92" s="46">
        <f t="shared" si="2"/>
        <v>1.555</v>
      </c>
      <c r="M92" s="46">
        <f t="shared" si="3"/>
        <v>3</v>
      </c>
      <c r="N92" s="46">
        <f t="shared" si="4"/>
        <v>0.336</v>
      </c>
      <c r="O92" s="46">
        <f t="shared" si="5"/>
        <v>4</v>
      </c>
      <c r="P92" s="46">
        <f t="shared" si="6"/>
        <v>0.644</v>
      </c>
      <c r="Q92" s="46">
        <f t="array" ref="Q92">IFS(E92="AA",5,E92="BB",4,E92="CC",3,E92="DD",2, E92="EE",1,E92="DDR",1)</f>
        <v>5</v>
      </c>
      <c r="R92" s="46">
        <f t="shared" si="7"/>
        <v>0.95</v>
      </c>
      <c r="S92" s="46">
        <f t="shared" si="8"/>
        <v>5</v>
      </c>
      <c r="T92" s="46">
        <f t="shared" si="9"/>
        <v>0.25</v>
      </c>
      <c r="U92" s="46">
        <f t="shared" si="10"/>
        <v>2</v>
      </c>
      <c r="V92" s="46">
        <f t="shared" si="11"/>
        <v>0.072</v>
      </c>
      <c r="W92" s="46">
        <f t="shared" si="22"/>
        <v>4</v>
      </c>
      <c r="X92" s="46">
        <f t="shared" si="17"/>
        <v>0.268</v>
      </c>
      <c r="Y92" s="46">
        <f t="array" ref="Y92">IFS(
J92="hutan",5,
J92="hutan, sungai",5,
J92="pekarangan",1,
J92="hutan, jalan desa",3,
J92="hutan, kebun sawit",1,
J92="hutan, jalan",3,
J92="sawah",3,
J92="kebun",3,
J92="sawah, kebun",1,
J92="kebun sawit",1,
J92="Lahan GI",5,
J92="kebun sawit, jalan provinsi",1,
J92="lahan kosong",5,
J92="kebun, lahan kosong",3,
J92="jalan desa, kebun sawit",1,
J92="sungai",5
)</f>
        <v>3</v>
      </c>
      <c r="Z92" s="46">
        <f t="shared" si="12"/>
        <v>0.219</v>
      </c>
      <c r="AA92" s="46">
        <f t="shared" si="13"/>
        <v>4.294</v>
      </c>
      <c r="AB92" s="46">
        <f t="shared" si="14"/>
        <v>4</v>
      </c>
    </row>
    <row r="93" ht="14.25" customHeight="1">
      <c r="A93" s="6" t="s">
        <v>317</v>
      </c>
      <c r="B93" s="44">
        <v>1.0</v>
      </c>
      <c r="C93" s="7">
        <v>2.0</v>
      </c>
      <c r="D93" s="44">
        <v>66.95</v>
      </c>
      <c r="E93" s="44" t="s">
        <v>175</v>
      </c>
      <c r="F93" s="44">
        <v>247.05</v>
      </c>
      <c r="G93" s="44">
        <v>730.24</v>
      </c>
      <c r="H93" s="51">
        <v>340.878</v>
      </c>
      <c r="I93" s="52">
        <f t="shared" si="15"/>
        <v>341</v>
      </c>
      <c r="J93" s="46" t="s">
        <v>474</v>
      </c>
      <c r="K93" s="46">
        <f t="shared" si="1"/>
        <v>5</v>
      </c>
      <c r="L93" s="46">
        <f t="shared" si="2"/>
        <v>1.555</v>
      </c>
      <c r="M93" s="46">
        <f t="shared" si="3"/>
        <v>3</v>
      </c>
      <c r="N93" s="46">
        <f t="shared" si="4"/>
        <v>0.336</v>
      </c>
      <c r="O93" s="46">
        <f t="shared" si="5"/>
        <v>4</v>
      </c>
      <c r="P93" s="46">
        <f t="shared" si="6"/>
        <v>0.644</v>
      </c>
      <c r="Q93" s="46">
        <f t="array" ref="Q93">IFS(E93="AA",5,E93="BB",4,E93="CC",3,E93="DD",2, E93="EE",1,E93="DDR",1)</f>
        <v>5</v>
      </c>
      <c r="R93" s="46">
        <f t="shared" si="7"/>
        <v>0.95</v>
      </c>
      <c r="S93" s="46">
        <f t="shared" si="8"/>
        <v>4</v>
      </c>
      <c r="T93" s="46">
        <f t="shared" si="9"/>
        <v>0.2</v>
      </c>
      <c r="U93" s="46">
        <f t="shared" si="10"/>
        <v>2</v>
      </c>
      <c r="V93" s="46">
        <f t="shared" si="11"/>
        <v>0.072</v>
      </c>
      <c r="W93" s="46">
        <f t="shared" si="22"/>
        <v>3</v>
      </c>
      <c r="X93" s="46">
        <f t="shared" si="17"/>
        <v>0.201</v>
      </c>
      <c r="Y93" s="46">
        <f t="array" ref="Y93">IFS(
J93="hutan",5,
J93="hutan, sungai",5,
J93="pekarangan",1,
J93="hutan, jalan desa",3,
J93="hutan, kebun sawit",1,
J93="hutan, jalan",3,
J93="sawah",3,
J93="kebun",3,
J93="sawah, kebun",1,
J93="kebun sawit",1,
J93="Lahan GI",5,
J93="kebun sawit, jalan provinsi",1,
J93="lahan kosong",5,
J93="kebun, lahan kosong",3,
J93="jalan desa, kebun sawit",1,
J93="sungai",5
)</f>
        <v>3</v>
      </c>
      <c r="Z93" s="46">
        <f t="shared" si="12"/>
        <v>0.219</v>
      </c>
      <c r="AA93" s="46">
        <f t="shared" si="13"/>
        <v>4.177</v>
      </c>
      <c r="AB93" s="46">
        <f t="shared" si="14"/>
        <v>4</v>
      </c>
    </row>
    <row r="94" ht="14.25" customHeight="1">
      <c r="A94" s="6" t="s">
        <v>320</v>
      </c>
      <c r="B94" s="44">
        <v>2.0</v>
      </c>
      <c r="C94" s="7">
        <v>2.0</v>
      </c>
      <c r="D94" s="44">
        <v>76.03</v>
      </c>
      <c r="E94" s="44" t="s">
        <v>109</v>
      </c>
      <c r="F94" s="44">
        <v>79.27</v>
      </c>
      <c r="G94" s="44">
        <v>593.33</v>
      </c>
      <c r="H94" s="51">
        <v>366.975</v>
      </c>
      <c r="I94" s="52">
        <f t="shared" si="15"/>
        <v>367</v>
      </c>
      <c r="J94" s="46" t="s">
        <v>479</v>
      </c>
      <c r="K94" s="46">
        <f t="shared" si="1"/>
        <v>3</v>
      </c>
      <c r="L94" s="46">
        <f t="shared" si="2"/>
        <v>0.933</v>
      </c>
      <c r="M94" s="46">
        <f t="shared" si="3"/>
        <v>3</v>
      </c>
      <c r="N94" s="46">
        <f t="shared" si="4"/>
        <v>0.336</v>
      </c>
      <c r="O94" s="46">
        <f t="shared" si="5"/>
        <v>4</v>
      </c>
      <c r="P94" s="46">
        <f t="shared" si="6"/>
        <v>0.644</v>
      </c>
      <c r="Q94" s="46">
        <f t="array" ref="Q94">IFS(E94="AA",5,E94="BB",4,E94="CC",3,E94="DD",2, E94="EE",1,E94="DDR",1)</f>
        <v>4</v>
      </c>
      <c r="R94" s="46">
        <f t="shared" si="7"/>
        <v>0.76</v>
      </c>
      <c r="S94" s="46">
        <f t="shared" si="8"/>
        <v>5</v>
      </c>
      <c r="T94" s="46">
        <f t="shared" si="9"/>
        <v>0.25</v>
      </c>
      <c r="U94" s="46">
        <f t="shared" si="10"/>
        <v>2</v>
      </c>
      <c r="V94" s="46">
        <f t="shared" si="11"/>
        <v>0.072</v>
      </c>
      <c r="W94" s="46">
        <f t="shared" si="22"/>
        <v>3</v>
      </c>
      <c r="X94" s="46">
        <f t="shared" si="17"/>
        <v>0.201</v>
      </c>
      <c r="Y94" s="46">
        <f t="array" ref="Y94">IFS(
J94="hutan",5,
J94="hutan, sungai",5,
J94="pekarangan",1,
J94="hutan, jalan desa",3,
J94="hutan, kebun sawit",1,
J94="hutan, jalan",3,
J94="sawah",3,
J94="kebun",3,
J94="sawah, kebun",1,
J94="kebun sawit",1,
J94="Lahan GI",5,
J94="kebun sawit, jalan provinsi",1,
J94="lahan kosong",5,
J94="kebun, lahan kosong",3,
J94="jalan desa, kebun sawit",1,
J94="sungai",5
)</f>
        <v>3</v>
      </c>
      <c r="Z94" s="46">
        <f t="shared" si="12"/>
        <v>0.219</v>
      </c>
      <c r="AA94" s="46">
        <f t="shared" si="13"/>
        <v>3.415</v>
      </c>
      <c r="AB94" s="46">
        <f t="shared" si="14"/>
        <v>3</v>
      </c>
    </row>
    <row r="95" ht="14.25" customHeight="1">
      <c r="A95" s="6" t="s">
        <v>323</v>
      </c>
      <c r="B95" s="44">
        <v>1.0</v>
      </c>
      <c r="C95" s="7">
        <v>3.0</v>
      </c>
      <c r="D95" s="44">
        <v>78.42</v>
      </c>
      <c r="E95" s="44" t="s">
        <v>175</v>
      </c>
      <c r="F95" s="44">
        <v>355.91</v>
      </c>
      <c r="G95" s="44">
        <v>549.75</v>
      </c>
      <c r="H95" s="51">
        <v>357.507</v>
      </c>
      <c r="I95" s="52">
        <f t="shared" si="15"/>
        <v>358</v>
      </c>
      <c r="J95" s="46" t="s">
        <v>123</v>
      </c>
      <c r="K95" s="46">
        <f t="shared" si="1"/>
        <v>5</v>
      </c>
      <c r="L95" s="46">
        <f t="shared" si="2"/>
        <v>1.555</v>
      </c>
      <c r="M95" s="46">
        <f t="shared" si="3"/>
        <v>1</v>
      </c>
      <c r="N95" s="46">
        <f t="shared" si="4"/>
        <v>0.112</v>
      </c>
      <c r="O95" s="46">
        <f t="shared" si="5"/>
        <v>4</v>
      </c>
      <c r="P95" s="46">
        <f t="shared" si="6"/>
        <v>0.644</v>
      </c>
      <c r="Q95" s="46">
        <f t="array" ref="Q95">IFS(E95="AA",5,E95="BB",4,E95="CC",3,E95="DD",2, E95="EE",1,E95="DDR",1)</f>
        <v>5</v>
      </c>
      <c r="R95" s="46">
        <f t="shared" si="7"/>
        <v>0.95</v>
      </c>
      <c r="S95" s="46">
        <f t="shared" si="8"/>
        <v>4</v>
      </c>
      <c r="T95" s="46">
        <f t="shared" si="9"/>
        <v>0.2</v>
      </c>
      <c r="U95" s="46">
        <f t="shared" si="10"/>
        <v>2</v>
      </c>
      <c r="V95" s="46">
        <f t="shared" si="11"/>
        <v>0.072</v>
      </c>
      <c r="W95" s="46">
        <f t="shared" si="22"/>
        <v>3</v>
      </c>
      <c r="X95" s="46">
        <f t="shared" si="17"/>
        <v>0.201</v>
      </c>
      <c r="Y95" s="46">
        <f t="array" ref="Y95">IFS(
J95="hutan",5,
J95="hutan, sungai",5,
J95="pekarangan",1,
J95="hutan, jalan desa",3,
J95="hutan, kebun sawit",1,
J95="hutan, jalan",3,
J95="sawah",3,
J95="kebun",3,
J95="sawah, kebun",1,
J95="kebun sawit",1,
J95="Lahan GI",5,
J95="kebun sawit, jalan provinsi",1,
J95="lahan kosong",5,
J95="kebun, lahan kosong",3,
J95="jalan desa, kebun sawit",1,
J95="sungai",5
)</f>
        <v>1</v>
      </c>
      <c r="Z95" s="46">
        <f t="shared" si="12"/>
        <v>0.073</v>
      </c>
      <c r="AA95" s="46">
        <f t="shared" si="13"/>
        <v>3.807</v>
      </c>
      <c r="AB95" s="46">
        <f t="shared" si="14"/>
        <v>4</v>
      </c>
    </row>
    <row r="96" ht="14.25" customHeight="1">
      <c r="A96" s="6" t="s">
        <v>327</v>
      </c>
      <c r="B96" s="44">
        <v>1.0</v>
      </c>
      <c r="C96" s="7">
        <v>3.0</v>
      </c>
      <c r="D96" s="44">
        <v>80.74</v>
      </c>
      <c r="E96" s="44" t="s">
        <v>175</v>
      </c>
      <c r="F96" s="44">
        <v>116.14</v>
      </c>
      <c r="G96" s="44">
        <v>493.36</v>
      </c>
      <c r="H96" s="51">
        <v>334.199</v>
      </c>
      <c r="I96" s="52">
        <f t="shared" si="15"/>
        <v>334</v>
      </c>
      <c r="J96" s="46" t="s">
        <v>480</v>
      </c>
      <c r="K96" s="46">
        <f t="shared" si="1"/>
        <v>5</v>
      </c>
      <c r="L96" s="46">
        <f t="shared" si="2"/>
        <v>1.555</v>
      </c>
      <c r="M96" s="46">
        <f t="shared" si="3"/>
        <v>1</v>
      </c>
      <c r="N96" s="46">
        <f t="shared" si="4"/>
        <v>0.112</v>
      </c>
      <c r="O96" s="46">
        <f t="shared" si="5"/>
        <v>4</v>
      </c>
      <c r="P96" s="46">
        <f t="shared" si="6"/>
        <v>0.644</v>
      </c>
      <c r="Q96" s="46">
        <f t="array" ref="Q96">IFS(E96="AA",5,E96="BB",4,E96="CC",3,E96="DD",2, E96="EE",1,E96="DDR",1)</f>
        <v>5</v>
      </c>
      <c r="R96" s="46">
        <f t="shared" si="7"/>
        <v>0.95</v>
      </c>
      <c r="S96" s="46">
        <f t="shared" si="8"/>
        <v>5</v>
      </c>
      <c r="T96" s="46">
        <f t="shared" si="9"/>
        <v>0.25</v>
      </c>
      <c r="U96" s="46">
        <f t="shared" si="10"/>
        <v>2</v>
      </c>
      <c r="V96" s="46">
        <f t="shared" si="11"/>
        <v>0.072</v>
      </c>
      <c r="W96" s="46">
        <f t="shared" si="22"/>
        <v>4</v>
      </c>
      <c r="X96" s="46">
        <f t="shared" si="17"/>
        <v>0.268</v>
      </c>
      <c r="Y96" s="46">
        <f t="array" ref="Y96">IFS(
J96="hutan",5,
J96="hutan, sungai",5,
J96="pekarangan",1,
J96="hutan, jalan desa",3,
J96="hutan, kebun sawit",1,
J96="hutan, jalan",3,
J96="sawah",3,
J96="kebun",3,
J96="sawah, kebun",1,
J96="kebun sawit",1,
J96="Lahan GI",5,
J96="kebun sawit, jalan provinsi",1,
J96="lahan kosong",5,
J96="kebun, lahan kosong",3,
J96="jalan desa, kebun sawit",1,
J96="sungai",5
)</f>
        <v>1</v>
      </c>
      <c r="Z96" s="46">
        <f t="shared" si="12"/>
        <v>0.073</v>
      </c>
      <c r="AA96" s="46">
        <f t="shared" si="13"/>
        <v>3.924</v>
      </c>
      <c r="AB96" s="46">
        <f t="shared" si="14"/>
        <v>4</v>
      </c>
    </row>
    <row r="97" ht="14.25" customHeight="1">
      <c r="A97" s="6" t="s">
        <v>331</v>
      </c>
      <c r="B97" s="44">
        <v>2.0</v>
      </c>
      <c r="C97" s="7">
        <v>3.0</v>
      </c>
      <c r="D97" s="44">
        <v>86.76</v>
      </c>
      <c r="E97" s="44" t="s">
        <v>109</v>
      </c>
      <c r="F97" s="44">
        <v>192.61</v>
      </c>
      <c r="G97" s="44">
        <v>519.13</v>
      </c>
      <c r="H97" s="51">
        <v>346.211</v>
      </c>
      <c r="I97" s="52">
        <f t="shared" si="15"/>
        <v>346</v>
      </c>
      <c r="J97" s="46" t="s">
        <v>480</v>
      </c>
      <c r="K97" s="46">
        <f t="shared" si="1"/>
        <v>3</v>
      </c>
      <c r="L97" s="46">
        <f t="shared" si="2"/>
        <v>0.933</v>
      </c>
      <c r="M97" s="46">
        <f t="shared" si="3"/>
        <v>1</v>
      </c>
      <c r="N97" s="46">
        <f t="shared" si="4"/>
        <v>0.112</v>
      </c>
      <c r="O97" s="46">
        <f t="shared" si="5"/>
        <v>4</v>
      </c>
      <c r="P97" s="46">
        <f t="shared" si="6"/>
        <v>0.644</v>
      </c>
      <c r="Q97" s="46">
        <f t="array" ref="Q97">IFS(E97="AA",5,E97="BB",4,E97="CC",3,E97="DD",2, E97="EE",1,E97="DDR",1)</f>
        <v>4</v>
      </c>
      <c r="R97" s="46">
        <f t="shared" si="7"/>
        <v>0.76</v>
      </c>
      <c r="S97" s="46">
        <f t="shared" si="8"/>
        <v>4</v>
      </c>
      <c r="T97" s="46">
        <f t="shared" si="9"/>
        <v>0.2</v>
      </c>
      <c r="U97" s="46">
        <f t="shared" si="10"/>
        <v>2</v>
      </c>
      <c r="V97" s="46">
        <f t="shared" si="11"/>
        <v>0.072</v>
      </c>
      <c r="W97" s="46">
        <f t="shared" si="22"/>
        <v>3</v>
      </c>
      <c r="X97" s="46">
        <f t="shared" si="17"/>
        <v>0.201</v>
      </c>
      <c r="Y97" s="46">
        <f t="array" ref="Y97">IFS(
J97="hutan",5,
J97="hutan, sungai",5,
J97="pekarangan",1,
J97="hutan, jalan desa",3,
J97="hutan, kebun sawit",1,
J97="hutan, jalan",3,
J97="sawah",3,
J97="kebun",3,
J97="sawah, kebun",1,
J97="kebun sawit",1,
J97="Lahan GI",5,
J97="kebun sawit, jalan provinsi",1,
J97="lahan kosong",5,
J97="kebun, lahan kosong",3,
J97="jalan desa, kebun sawit",1,
J97="sungai",5
)</f>
        <v>1</v>
      </c>
      <c r="Z97" s="46">
        <f t="shared" si="12"/>
        <v>0.073</v>
      </c>
      <c r="AA97" s="46">
        <f t="shared" si="13"/>
        <v>2.995</v>
      </c>
      <c r="AB97" s="46">
        <f t="shared" si="14"/>
        <v>3</v>
      </c>
    </row>
    <row r="98" ht="14.25" customHeight="1">
      <c r="A98" s="6" t="s">
        <v>337</v>
      </c>
      <c r="B98" s="44">
        <v>2.0</v>
      </c>
      <c r="C98" s="7">
        <v>3.0</v>
      </c>
      <c r="D98" s="44">
        <v>93.0</v>
      </c>
      <c r="E98" s="44" t="s">
        <v>109</v>
      </c>
      <c r="F98" s="44">
        <v>156.29</v>
      </c>
      <c r="G98" s="44">
        <v>403.6</v>
      </c>
      <c r="H98" s="51">
        <v>335.55</v>
      </c>
      <c r="I98" s="52">
        <f t="shared" si="15"/>
        <v>336</v>
      </c>
      <c r="J98" s="46" t="s">
        <v>480</v>
      </c>
      <c r="K98" s="46">
        <f t="shared" si="1"/>
        <v>3</v>
      </c>
      <c r="L98" s="46">
        <f t="shared" si="2"/>
        <v>0.933</v>
      </c>
      <c r="M98" s="46">
        <f t="shared" si="3"/>
        <v>1</v>
      </c>
      <c r="N98" s="46">
        <f t="shared" si="4"/>
        <v>0.112</v>
      </c>
      <c r="O98" s="46">
        <f t="shared" si="5"/>
        <v>4</v>
      </c>
      <c r="P98" s="46">
        <f t="shared" si="6"/>
        <v>0.644</v>
      </c>
      <c r="Q98" s="46">
        <f t="array" ref="Q98">IFS(E98="AA",5,E98="BB",4,E98="CC",3,E98="DD",2, E98="EE",1,E98="DDR",1)</f>
        <v>4</v>
      </c>
      <c r="R98" s="46">
        <f t="shared" si="7"/>
        <v>0.76</v>
      </c>
      <c r="S98" s="46">
        <f t="shared" si="8"/>
        <v>5</v>
      </c>
      <c r="T98" s="46">
        <f t="shared" si="9"/>
        <v>0.25</v>
      </c>
      <c r="U98" s="46">
        <f t="shared" si="10"/>
        <v>1</v>
      </c>
      <c r="V98" s="46">
        <f t="shared" si="11"/>
        <v>0.036</v>
      </c>
      <c r="W98" s="46">
        <f t="shared" si="22"/>
        <v>4</v>
      </c>
      <c r="X98" s="46">
        <f t="shared" si="17"/>
        <v>0.268</v>
      </c>
      <c r="Y98" s="46">
        <f t="array" ref="Y98">IFS(
J98="hutan",5,
J98="hutan, sungai",5,
J98="pekarangan",1,
J98="hutan, jalan desa",3,
J98="hutan, kebun sawit",1,
J98="hutan, jalan",3,
J98="sawah",3,
J98="kebun",3,
J98="sawah, kebun",1,
J98="kebun sawit",1,
J98="Lahan GI",5,
J98="kebun sawit, jalan provinsi",1,
J98="lahan kosong",5,
J98="kebun, lahan kosong",3,
J98="jalan desa, kebun sawit",1,
J98="sungai",5
)</f>
        <v>1</v>
      </c>
      <c r="Z98" s="46">
        <f t="shared" si="12"/>
        <v>0.073</v>
      </c>
      <c r="AA98" s="46">
        <f t="shared" si="13"/>
        <v>3.076</v>
      </c>
      <c r="AB98" s="46">
        <f t="shared" si="14"/>
        <v>3</v>
      </c>
    </row>
    <row r="99" ht="14.25" customHeight="1">
      <c r="A99" s="6" t="s">
        <v>342</v>
      </c>
      <c r="B99" s="44">
        <v>3.0</v>
      </c>
      <c r="C99" s="7">
        <v>2.0</v>
      </c>
      <c r="D99" s="44">
        <v>100.78</v>
      </c>
      <c r="E99" s="44" t="s">
        <v>463</v>
      </c>
      <c r="F99" s="44">
        <v>165.25</v>
      </c>
      <c r="G99" s="44">
        <v>413.47</v>
      </c>
      <c r="H99" s="51">
        <v>385.546</v>
      </c>
      <c r="I99" s="52">
        <f t="shared" si="15"/>
        <v>386</v>
      </c>
      <c r="J99" s="46" t="s">
        <v>470</v>
      </c>
      <c r="K99" s="46">
        <f t="shared" si="1"/>
        <v>1</v>
      </c>
      <c r="L99" s="46">
        <f t="shared" si="2"/>
        <v>0.311</v>
      </c>
      <c r="M99" s="46">
        <f t="shared" si="3"/>
        <v>3</v>
      </c>
      <c r="N99" s="46">
        <f t="shared" si="4"/>
        <v>0.336</v>
      </c>
      <c r="O99" s="46">
        <f t="shared" si="5"/>
        <v>3</v>
      </c>
      <c r="P99" s="46">
        <f t="shared" si="6"/>
        <v>0.483</v>
      </c>
      <c r="Q99" s="46">
        <f t="array" ref="Q99">IFS(E99="AA",5,E99="BB",4,E99="CC",3,E99="DD",2, E99="EE",1,E99="DDR",1)</f>
        <v>2</v>
      </c>
      <c r="R99" s="46">
        <f t="shared" si="7"/>
        <v>0.38</v>
      </c>
      <c r="S99" s="46">
        <f t="shared" si="8"/>
        <v>5</v>
      </c>
      <c r="T99" s="46">
        <f t="shared" si="9"/>
        <v>0.25</v>
      </c>
      <c r="U99" s="46">
        <f t="shared" si="10"/>
        <v>1</v>
      </c>
      <c r="V99" s="46">
        <f t="shared" si="11"/>
        <v>0.036</v>
      </c>
      <c r="W99" s="46">
        <f t="shared" si="22"/>
        <v>2</v>
      </c>
      <c r="X99" s="46">
        <f t="shared" si="17"/>
        <v>0.134</v>
      </c>
      <c r="Y99" s="46">
        <f t="array" ref="Y99">IFS(
J99="hutan",5,
J99="hutan, sungai",5,
J99="pekarangan",1,
J99="hutan, jalan desa",3,
J99="hutan, kebun sawit",1,
J99="hutan, jalan",3,
J99="sawah",3,
J99="kebun",3,
J99="sawah, kebun",1,
J99="kebun sawit",1,
J99="Lahan GI",5,
J99="kebun sawit, jalan provinsi",1,
J99="lahan kosong",5,
J99="kebun, lahan kosong",3,
J99="jalan desa, kebun sawit",1,
J99="sungai",5
)</f>
        <v>3</v>
      </c>
      <c r="Z99" s="46">
        <f t="shared" si="12"/>
        <v>0.219</v>
      </c>
      <c r="AA99" s="46">
        <f t="shared" si="13"/>
        <v>2.149</v>
      </c>
      <c r="AB99" s="46">
        <f t="shared" si="14"/>
        <v>2</v>
      </c>
    </row>
    <row r="100" ht="14.25" customHeight="1">
      <c r="A100" s="6" t="s">
        <v>347</v>
      </c>
      <c r="B100" s="44">
        <v>3.0</v>
      </c>
      <c r="C100" s="7">
        <v>2.0</v>
      </c>
      <c r="D100" s="44">
        <v>95.07</v>
      </c>
      <c r="E100" s="44" t="s">
        <v>132</v>
      </c>
      <c r="F100" s="44">
        <v>102.58</v>
      </c>
      <c r="G100" s="44">
        <v>658.95</v>
      </c>
      <c r="H100" s="51">
        <v>327.719</v>
      </c>
      <c r="I100" s="52">
        <f t="shared" si="15"/>
        <v>328</v>
      </c>
      <c r="J100" s="46" t="s">
        <v>470</v>
      </c>
      <c r="K100" s="46">
        <f t="shared" si="1"/>
        <v>1</v>
      </c>
      <c r="L100" s="46">
        <f t="shared" si="2"/>
        <v>0.311</v>
      </c>
      <c r="M100" s="46">
        <f t="shared" si="3"/>
        <v>3</v>
      </c>
      <c r="N100" s="46">
        <f t="shared" si="4"/>
        <v>0.336</v>
      </c>
      <c r="O100" s="46">
        <f t="shared" si="5"/>
        <v>4</v>
      </c>
      <c r="P100" s="46">
        <f t="shared" si="6"/>
        <v>0.644</v>
      </c>
      <c r="Q100" s="46">
        <f t="array" ref="Q100">IFS(E100="AA",5,E100="BB",4,E100="CC",3,E100="DD",2, E100="EE",1,E100="DDR",1)</f>
        <v>3</v>
      </c>
      <c r="R100" s="46">
        <f t="shared" si="7"/>
        <v>0.57</v>
      </c>
      <c r="S100" s="46">
        <f t="shared" si="8"/>
        <v>5</v>
      </c>
      <c r="T100" s="46">
        <f t="shared" si="9"/>
        <v>0.25</v>
      </c>
      <c r="U100" s="46">
        <f t="shared" si="10"/>
        <v>2</v>
      </c>
      <c r="V100" s="46">
        <f t="shared" si="11"/>
        <v>0.072</v>
      </c>
      <c r="W100" s="46">
        <f t="shared" si="22"/>
        <v>4</v>
      </c>
      <c r="X100" s="46">
        <f t="shared" si="17"/>
        <v>0.268</v>
      </c>
      <c r="Y100" s="46">
        <f t="array" ref="Y100">IFS(
J100="hutan",5,
J100="hutan, sungai",5,
J100="pekarangan",1,
J100="hutan, jalan desa",3,
J100="hutan, kebun sawit",1,
J100="hutan, jalan",3,
J100="sawah",3,
J100="kebun",3,
J100="sawah, kebun",1,
J100="kebun sawit",1,
J100="Lahan GI",5,
J100="kebun sawit, jalan provinsi",1,
J100="lahan kosong",5,
J100="kebun, lahan kosong",3,
J100="jalan desa, kebun sawit",1,
J100="sungai",5
)</f>
        <v>3</v>
      </c>
      <c r="Z100" s="46">
        <f t="shared" si="12"/>
        <v>0.219</v>
      </c>
      <c r="AA100" s="46">
        <f t="shared" si="13"/>
        <v>2.67</v>
      </c>
      <c r="AB100" s="46">
        <f t="shared" si="14"/>
        <v>2</v>
      </c>
    </row>
    <row r="101" ht="14.25" customHeight="1">
      <c r="A101" s="6" t="s">
        <v>350</v>
      </c>
      <c r="B101" s="44">
        <v>1.0</v>
      </c>
      <c r="C101" s="7">
        <v>2.0</v>
      </c>
      <c r="D101" s="44">
        <v>98.6</v>
      </c>
      <c r="E101" s="44" t="s">
        <v>175</v>
      </c>
      <c r="F101" s="44">
        <v>107.64</v>
      </c>
      <c r="G101" s="44">
        <v>934.23</v>
      </c>
      <c r="H101" s="51">
        <v>366.827</v>
      </c>
      <c r="I101" s="52">
        <f t="shared" si="15"/>
        <v>367</v>
      </c>
      <c r="J101" s="46" t="s">
        <v>470</v>
      </c>
      <c r="K101" s="46">
        <f t="shared" si="1"/>
        <v>5</v>
      </c>
      <c r="L101" s="46">
        <f t="shared" si="2"/>
        <v>1.555</v>
      </c>
      <c r="M101" s="46">
        <f t="shared" si="3"/>
        <v>3</v>
      </c>
      <c r="N101" s="46">
        <f t="shared" si="4"/>
        <v>0.336</v>
      </c>
      <c r="O101" s="46">
        <f t="shared" si="5"/>
        <v>4</v>
      </c>
      <c r="P101" s="46">
        <f t="shared" si="6"/>
        <v>0.644</v>
      </c>
      <c r="Q101" s="46">
        <f t="array" ref="Q101">IFS(E101="AA",5,E101="BB",4,E101="CC",3,E101="DD",2, E101="EE",1,E101="DDR",1)</f>
        <v>5</v>
      </c>
      <c r="R101" s="46">
        <f t="shared" si="7"/>
        <v>0.95</v>
      </c>
      <c r="S101" s="46">
        <f t="shared" si="8"/>
        <v>5</v>
      </c>
      <c r="T101" s="46">
        <f t="shared" si="9"/>
        <v>0.25</v>
      </c>
      <c r="U101" s="46">
        <f t="shared" si="10"/>
        <v>2</v>
      </c>
      <c r="V101" s="46">
        <f t="shared" si="11"/>
        <v>0.072</v>
      </c>
      <c r="W101" s="46">
        <f t="shared" si="22"/>
        <v>3</v>
      </c>
      <c r="X101" s="46">
        <f t="shared" si="17"/>
        <v>0.201</v>
      </c>
      <c r="Y101" s="46">
        <f t="array" ref="Y101">IFS(
J101="hutan",5,
J101="hutan, sungai",5,
J101="pekarangan",1,
J101="hutan, jalan desa",3,
J101="hutan, kebun sawit",1,
J101="hutan, jalan",3,
J101="sawah",3,
J101="kebun",3,
J101="sawah, kebun",1,
J101="kebun sawit",1,
J101="Lahan GI",5,
J101="kebun sawit, jalan provinsi",1,
J101="lahan kosong",5,
J101="kebun, lahan kosong",3,
J101="jalan desa, kebun sawit",1,
J101="sungai",5
)</f>
        <v>3</v>
      </c>
      <c r="Z101" s="46">
        <f t="shared" si="12"/>
        <v>0.219</v>
      </c>
      <c r="AA101" s="46">
        <f t="shared" si="13"/>
        <v>4.227</v>
      </c>
      <c r="AB101" s="46">
        <f t="shared" si="14"/>
        <v>4</v>
      </c>
    </row>
    <row r="102" ht="14.25" customHeight="1">
      <c r="A102" s="6" t="s">
        <v>354</v>
      </c>
      <c r="B102" s="44">
        <v>1.0</v>
      </c>
      <c r="C102" s="7">
        <v>3.0</v>
      </c>
      <c r="D102" s="44">
        <v>96.41</v>
      </c>
      <c r="E102" s="44" t="s">
        <v>175</v>
      </c>
      <c r="F102" s="44">
        <v>128.47</v>
      </c>
      <c r="G102" s="44">
        <v>1260.2</v>
      </c>
      <c r="H102" s="51">
        <v>384.637</v>
      </c>
      <c r="I102" s="52">
        <f t="shared" si="15"/>
        <v>385</v>
      </c>
      <c r="J102" s="46" t="s">
        <v>123</v>
      </c>
      <c r="K102" s="46">
        <f t="shared" si="1"/>
        <v>5</v>
      </c>
      <c r="L102" s="46">
        <f t="shared" si="2"/>
        <v>1.555</v>
      </c>
      <c r="M102" s="46">
        <f t="shared" si="3"/>
        <v>1</v>
      </c>
      <c r="N102" s="46">
        <f t="shared" si="4"/>
        <v>0.112</v>
      </c>
      <c r="O102" s="46">
        <f t="shared" si="5"/>
        <v>4</v>
      </c>
      <c r="P102" s="46">
        <f t="shared" si="6"/>
        <v>0.644</v>
      </c>
      <c r="Q102" s="46">
        <f t="array" ref="Q102">IFS(E102="AA",5,E102="BB",4,E102="CC",3,E102="DD",2, E102="EE",1,E102="DDR",1)</f>
        <v>5</v>
      </c>
      <c r="R102" s="46">
        <f t="shared" si="7"/>
        <v>0.95</v>
      </c>
      <c r="S102" s="46">
        <f t="shared" si="8"/>
        <v>5</v>
      </c>
      <c r="T102" s="46">
        <f t="shared" si="9"/>
        <v>0.25</v>
      </c>
      <c r="U102" s="46">
        <f t="shared" si="10"/>
        <v>2</v>
      </c>
      <c r="V102" s="46">
        <f t="shared" si="11"/>
        <v>0.072</v>
      </c>
      <c r="W102" s="46">
        <f t="shared" si="22"/>
        <v>2</v>
      </c>
      <c r="X102" s="46">
        <f t="shared" si="17"/>
        <v>0.134</v>
      </c>
      <c r="Y102" s="46">
        <f t="array" ref="Y102">IFS(
J102="hutan",5,
J102="hutan, sungai",5,
J102="pekarangan",1,
J102="hutan, jalan desa",3,
J102="hutan, kebun sawit",1,
J102="hutan, jalan",3,
J102="sawah",3,
J102="kebun",3,
J102="sawah, kebun",1,
J102="kebun sawit",1,
J102="Lahan GI",5,
J102="kebun sawit, jalan provinsi",1,
J102="lahan kosong",5,
J102="kebun, lahan kosong",3,
J102="jalan desa, kebun sawit",1,
J102="sungai",5
)</f>
        <v>1</v>
      </c>
      <c r="Z102" s="46">
        <f t="shared" si="12"/>
        <v>0.073</v>
      </c>
      <c r="AA102" s="46">
        <f t="shared" si="13"/>
        <v>3.79</v>
      </c>
      <c r="AB102" s="46">
        <f t="shared" si="14"/>
        <v>4</v>
      </c>
    </row>
    <row r="103" ht="14.25" customHeight="1">
      <c r="A103" s="6" t="s">
        <v>359</v>
      </c>
      <c r="B103" s="44">
        <v>1.0</v>
      </c>
      <c r="C103" s="7">
        <v>2.0</v>
      </c>
      <c r="D103" s="44">
        <v>96.99</v>
      </c>
      <c r="E103" s="44" t="s">
        <v>175</v>
      </c>
      <c r="F103" s="44">
        <v>130.62</v>
      </c>
      <c r="G103" s="44">
        <v>1310.02</v>
      </c>
      <c r="H103" s="51">
        <v>369.863</v>
      </c>
      <c r="I103" s="52">
        <f t="shared" si="15"/>
        <v>370</v>
      </c>
      <c r="J103" s="46" t="s">
        <v>470</v>
      </c>
      <c r="K103" s="46">
        <f t="shared" si="1"/>
        <v>5</v>
      </c>
      <c r="L103" s="46">
        <f t="shared" si="2"/>
        <v>1.555</v>
      </c>
      <c r="M103" s="46">
        <f t="shared" si="3"/>
        <v>3</v>
      </c>
      <c r="N103" s="46">
        <f t="shared" si="4"/>
        <v>0.336</v>
      </c>
      <c r="O103" s="46">
        <f t="shared" si="5"/>
        <v>4</v>
      </c>
      <c r="P103" s="46">
        <f t="shared" si="6"/>
        <v>0.644</v>
      </c>
      <c r="Q103" s="46">
        <f t="array" ref="Q103">IFS(E103="AA",5,E103="BB",4,E103="CC",3,E103="DD",2, E103="EE",1,E103="DDR",1)</f>
        <v>5</v>
      </c>
      <c r="R103" s="46">
        <f t="shared" si="7"/>
        <v>0.95</v>
      </c>
      <c r="S103" s="46">
        <f t="shared" si="8"/>
        <v>5</v>
      </c>
      <c r="T103" s="46">
        <f t="shared" si="9"/>
        <v>0.25</v>
      </c>
      <c r="U103" s="46">
        <f t="shared" si="10"/>
        <v>2</v>
      </c>
      <c r="V103" s="46">
        <f t="shared" si="11"/>
        <v>0.072</v>
      </c>
      <c r="W103" s="46">
        <f t="shared" si="22"/>
        <v>3</v>
      </c>
      <c r="X103" s="46">
        <f t="shared" si="17"/>
        <v>0.201</v>
      </c>
      <c r="Y103" s="46">
        <f t="array" ref="Y103">IFS(
J103="hutan",5,
J103="hutan, sungai",5,
J103="pekarangan",1,
J103="hutan, jalan desa",3,
J103="hutan, kebun sawit",1,
J103="hutan, jalan",3,
J103="sawah",3,
J103="kebun",3,
J103="sawah, kebun",1,
J103="kebun sawit",1,
J103="Lahan GI",5,
J103="kebun sawit, jalan provinsi",1,
J103="lahan kosong",5,
J103="kebun, lahan kosong",3,
J103="jalan desa, kebun sawit",1,
J103="sungai",5
)</f>
        <v>3</v>
      </c>
      <c r="Z103" s="46">
        <f t="shared" si="12"/>
        <v>0.219</v>
      </c>
      <c r="AA103" s="46">
        <f t="shared" si="13"/>
        <v>4.227</v>
      </c>
      <c r="AB103" s="46">
        <f t="shared" si="14"/>
        <v>4</v>
      </c>
    </row>
    <row r="104" ht="14.25" customHeight="1">
      <c r="A104" s="6" t="s">
        <v>363</v>
      </c>
      <c r="B104" s="44">
        <v>1.0</v>
      </c>
      <c r="C104" s="7">
        <v>3.0</v>
      </c>
      <c r="D104" s="44">
        <v>93.69</v>
      </c>
      <c r="E104" s="44" t="s">
        <v>175</v>
      </c>
      <c r="F104" s="44">
        <v>15.36</v>
      </c>
      <c r="G104" s="44">
        <v>995.63</v>
      </c>
      <c r="H104" s="51">
        <v>326.136</v>
      </c>
      <c r="I104" s="52">
        <f t="shared" si="15"/>
        <v>326</v>
      </c>
      <c r="J104" s="46" t="s">
        <v>123</v>
      </c>
      <c r="K104" s="46">
        <f t="shared" si="1"/>
        <v>5</v>
      </c>
      <c r="L104" s="46">
        <f t="shared" si="2"/>
        <v>1.555</v>
      </c>
      <c r="M104" s="46">
        <f t="shared" si="3"/>
        <v>1</v>
      </c>
      <c r="N104" s="46">
        <f t="shared" si="4"/>
        <v>0.112</v>
      </c>
      <c r="O104" s="46">
        <f t="shared" si="5"/>
        <v>4</v>
      </c>
      <c r="P104" s="46">
        <f t="shared" si="6"/>
        <v>0.644</v>
      </c>
      <c r="Q104" s="46">
        <f t="array" ref="Q104">IFS(E104="AA",5,E104="BB",4,E104="CC",3,E104="DD",2, E104="EE",1,E104="DDR",1)</f>
        <v>5</v>
      </c>
      <c r="R104" s="46">
        <f t="shared" si="7"/>
        <v>0.95</v>
      </c>
      <c r="S104" s="46">
        <f t="shared" si="8"/>
        <v>5</v>
      </c>
      <c r="T104" s="46">
        <f t="shared" si="9"/>
        <v>0.25</v>
      </c>
      <c r="U104" s="46">
        <f t="shared" si="10"/>
        <v>2</v>
      </c>
      <c r="V104" s="46">
        <f t="shared" si="11"/>
        <v>0.072</v>
      </c>
      <c r="W104" s="46">
        <f t="shared" si="22"/>
        <v>4</v>
      </c>
      <c r="X104" s="46">
        <f t="shared" si="17"/>
        <v>0.268</v>
      </c>
      <c r="Y104" s="46">
        <f t="array" ref="Y104">IFS(
J104="hutan",5,
J104="hutan, sungai",5,
J104="pekarangan",1,
J104="hutan, jalan desa",3,
J104="hutan, kebun sawit",1,
J104="hutan, jalan",3,
J104="sawah",3,
J104="kebun",3,
J104="sawah, kebun",1,
J104="kebun sawit",1,
J104="Lahan GI",5,
J104="kebun sawit, jalan provinsi",1,
J104="lahan kosong",5,
J104="kebun, lahan kosong",3,
J104="jalan desa, kebun sawit",1,
J104="sungai",5
)</f>
        <v>1</v>
      </c>
      <c r="Z104" s="46">
        <f t="shared" si="12"/>
        <v>0.073</v>
      </c>
      <c r="AA104" s="46">
        <f t="shared" si="13"/>
        <v>3.924</v>
      </c>
      <c r="AB104" s="46">
        <f t="shared" si="14"/>
        <v>4</v>
      </c>
    </row>
    <row r="105" ht="14.25" customHeight="1">
      <c r="A105" s="6" t="s">
        <v>367</v>
      </c>
      <c r="B105" s="44">
        <v>1.0</v>
      </c>
      <c r="C105" s="7">
        <v>3.0</v>
      </c>
      <c r="D105" s="44">
        <v>93.09</v>
      </c>
      <c r="E105" s="44" t="s">
        <v>175</v>
      </c>
      <c r="F105" s="44">
        <v>136.41</v>
      </c>
      <c r="G105" s="44">
        <v>616.27</v>
      </c>
      <c r="H105" s="51">
        <v>388.293</v>
      </c>
      <c r="I105" s="52">
        <f t="shared" si="15"/>
        <v>388</v>
      </c>
      <c r="J105" s="46" t="s">
        <v>123</v>
      </c>
      <c r="K105" s="46">
        <f t="shared" si="1"/>
        <v>5</v>
      </c>
      <c r="L105" s="46">
        <f t="shared" si="2"/>
        <v>1.555</v>
      </c>
      <c r="M105" s="46">
        <f t="shared" si="3"/>
        <v>1</v>
      </c>
      <c r="N105" s="46">
        <f t="shared" si="4"/>
        <v>0.112</v>
      </c>
      <c r="O105" s="46">
        <f t="shared" si="5"/>
        <v>4</v>
      </c>
      <c r="P105" s="46">
        <f t="shared" si="6"/>
        <v>0.644</v>
      </c>
      <c r="Q105" s="46">
        <f t="array" ref="Q105">IFS(E105="AA",5,E105="BB",4,E105="CC",3,E105="DD",2, E105="EE",1,E105="DDR",1)</f>
        <v>5</v>
      </c>
      <c r="R105" s="46">
        <f t="shared" si="7"/>
        <v>0.95</v>
      </c>
      <c r="S105" s="46">
        <f t="shared" si="8"/>
        <v>5</v>
      </c>
      <c r="T105" s="46">
        <f t="shared" si="9"/>
        <v>0.25</v>
      </c>
      <c r="U105" s="46">
        <f t="shared" si="10"/>
        <v>2</v>
      </c>
      <c r="V105" s="46">
        <f t="shared" si="11"/>
        <v>0.072</v>
      </c>
      <c r="W105" s="46">
        <f t="shared" si="22"/>
        <v>2</v>
      </c>
      <c r="X105" s="46">
        <f t="shared" si="17"/>
        <v>0.134</v>
      </c>
      <c r="Y105" s="46">
        <f t="array" ref="Y105">IFS(
J105="hutan",5,
J105="hutan, sungai",5,
J105="pekarangan",1,
J105="hutan, jalan desa",3,
J105="hutan, kebun sawit",1,
J105="hutan, jalan",3,
J105="sawah",3,
J105="kebun",3,
J105="sawah, kebun",1,
J105="kebun sawit",1,
J105="Lahan GI",5,
J105="kebun sawit, jalan provinsi",1,
J105="lahan kosong",5,
J105="kebun, lahan kosong",3,
J105="jalan desa, kebun sawit",1,
J105="sungai",5
)</f>
        <v>1</v>
      </c>
      <c r="Z105" s="46">
        <f t="shared" si="12"/>
        <v>0.073</v>
      </c>
      <c r="AA105" s="46">
        <f t="shared" si="13"/>
        <v>3.79</v>
      </c>
      <c r="AB105" s="46">
        <f t="shared" si="14"/>
        <v>4</v>
      </c>
    </row>
    <row r="106" ht="14.25" customHeight="1">
      <c r="A106" s="6" t="s">
        <v>372</v>
      </c>
      <c r="B106" s="44">
        <v>1.0</v>
      </c>
      <c r="C106" s="7">
        <v>3.0</v>
      </c>
      <c r="D106" s="44">
        <v>88.72</v>
      </c>
      <c r="E106" s="44" t="s">
        <v>175</v>
      </c>
      <c r="F106" s="44">
        <v>61.0</v>
      </c>
      <c r="G106" s="44">
        <v>365.51</v>
      </c>
      <c r="H106" s="51">
        <v>380.238</v>
      </c>
      <c r="I106" s="52">
        <f t="shared" si="15"/>
        <v>380</v>
      </c>
      <c r="J106" s="46" t="s">
        <v>123</v>
      </c>
      <c r="K106" s="46">
        <f t="shared" si="1"/>
        <v>5</v>
      </c>
      <c r="L106" s="46">
        <f t="shared" si="2"/>
        <v>1.555</v>
      </c>
      <c r="M106" s="46">
        <f t="shared" si="3"/>
        <v>1</v>
      </c>
      <c r="N106" s="46">
        <f t="shared" si="4"/>
        <v>0.112</v>
      </c>
      <c r="O106" s="46">
        <f t="shared" si="5"/>
        <v>4</v>
      </c>
      <c r="P106" s="46">
        <f t="shared" si="6"/>
        <v>0.644</v>
      </c>
      <c r="Q106" s="46">
        <f t="array" ref="Q106">IFS(E106="AA",5,E106="BB",4,E106="CC",3,E106="DD",2, E106="EE",1,E106="DDR",1)</f>
        <v>5</v>
      </c>
      <c r="R106" s="46">
        <f t="shared" si="7"/>
        <v>0.95</v>
      </c>
      <c r="S106" s="46">
        <f t="shared" si="8"/>
        <v>5</v>
      </c>
      <c r="T106" s="46">
        <f t="shared" si="9"/>
        <v>0.25</v>
      </c>
      <c r="U106" s="46">
        <f t="shared" si="10"/>
        <v>1</v>
      </c>
      <c r="V106" s="46">
        <f t="shared" si="11"/>
        <v>0.036</v>
      </c>
      <c r="W106" s="46">
        <v>2.0</v>
      </c>
      <c r="X106" s="46">
        <f t="shared" si="17"/>
        <v>0.134</v>
      </c>
      <c r="Y106" s="46">
        <f t="array" ref="Y106">IFS(
J106="hutan",5,
J106="hutan, sungai",5,
J106="pekarangan",1,
J106="hutan, jalan desa",3,
J106="hutan, kebun sawit",1,
J106="hutan, jalan",3,
J106="sawah",3,
J106="kebun",3,
J106="sawah, kebun",1,
J106="kebun sawit",1,
J106="Lahan GI",5,
J106="kebun sawit, jalan provinsi",1,
J106="lahan kosong",5,
J106="kebun, lahan kosong",3,
J106="jalan desa, kebun sawit",1,
J106="sungai",5
)</f>
        <v>1</v>
      </c>
      <c r="Z106" s="46">
        <f t="shared" si="12"/>
        <v>0.073</v>
      </c>
      <c r="AA106" s="46">
        <f t="shared" si="13"/>
        <v>3.754</v>
      </c>
      <c r="AB106" s="46">
        <f t="shared" si="14"/>
        <v>4</v>
      </c>
    </row>
    <row r="107" ht="14.25" customHeight="1">
      <c r="A107" s="6" t="s">
        <v>376</v>
      </c>
      <c r="B107" s="44">
        <v>1.0</v>
      </c>
      <c r="C107" s="7">
        <v>3.0</v>
      </c>
      <c r="D107" s="44">
        <v>91.31</v>
      </c>
      <c r="E107" s="44" t="s">
        <v>175</v>
      </c>
      <c r="F107" s="44">
        <v>140.13</v>
      </c>
      <c r="G107" s="44">
        <v>366.2</v>
      </c>
      <c r="H107" s="51">
        <v>363.131</v>
      </c>
      <c r="I107" s="52">
        <f t="shared" si="15"/>
        <v>363</v>
      </c>
      <c r="J107" s="46" t="s">
        <v>123</v>
      </c>
      <c r="K107" s="46">
        <f t="shared" si="1"/>
        <v>5</v>
      </c>
      <c r="L107" s="46">
        <f t="shared" si="2"/>
        <v>1.555</v>
      </c>
      <c r="M107" s="46">
        <f t="shared" si="3"/>
        <v>1</v>
      </c>
      <c r="N107" s="46">
        <f t="shared" si="4"/>
        <v>0.112</v>
      </c>
      <c r="O107" s="46">
        <f t="shared" si="5"/>
        <v>4</v>
      </c>
      <c r="P107" s="46">
        <f t="shared" si="6"/>
        <v>0.644</v>
      </c>
      <c r="Q107" s="46">
        <f t="array" ref="Q107">IFS(E107="AA",5,E107="BB",4,E107="CC",3,E107="DD",2, E107="EE",1,E107="DDR",1)</f>
        <v>5</v>
      </c>
      <c r="R107" s="46">
        <f t="shared" si="7"/>
        <v>0.95</v>
      </c>
      <c r="S107" s="46">
        <f t="shared" si="8"/>
        <v>5</v>
      </c>
      <c r="T107" s="46">
        <f t="shared" si="9"/>
        <v>0.25</v>
      </c>
      <c r="U107" s="46">
        <f t="shared" si="10"/>
        <v>1</v>
      </c>
      <c r="V107" s="46">
        <f t="shared" si="11"/>
        <v>0.036</v>
      </c>
      <c r="W107" s="46">
        <f t="shared" ref="W107:W108" si="23">MAX(1,MIN(5,
ROUND(5-(ABS(H107-275)/(275-100)*4),0)
))</f>
        <v>3</v>
      </c>
      <c r="X107" s="46">
        <f t="shared" si="17"/>
        <v>0.201</v>
      </c>
      <c r="Y107" s="46">
        <f t="array" ref="Y107">IFS(
J107="hutan",5,
J107="hutan, sungai",5,
J107="pekarangan",1,
J107="hutan, jalan desa",3,
J107="hutan, kebun sawit",1,
J107="hutan, jalan",3,
J107="sawah",3,
J107="kebun",3,
J107="sawah, kebun",1,
J107="kebun sawit",1,
J107="Lahan GI",5,
J107="kebun sawit, jalan provinsi",1,
J107="lahan kosong",5,
J107="kebun, lahan kosong",3,
J107="jalan desa, kebun sawit",1,
J107="sungai",5
)</f>
        <v>1</v>
      </c>
      <c r="Z107" s="46">
        <f t="shared" si="12"/>
        <v>0.073</v>
      </c>
      <c r="AA107" s="46">
        <f t="shared" si="13"/>
        <v>3.821</v>
      </c>
      <c r="AB107" s="46">
        <f t="shared" si="14"/>
        <v>4</v>
      </c>
    </row>
    <row r="108" ht="14.25" customHeight="1">
      <c r="A108" s="6" t="s">
        <v>380</v>
      </c>
      <c r="B108" s="44">
        <v>2.0</v>
      </c>
      <c r="C108" s="7">
        <v>2.0</v>
      </c>
      <c r="D108" s="44">
        <v>79.43</v>
      </c>
      <c r="E108" s="44" t="s">
        <v>109</v>
      </c>
      <c r="F108" s="44">
        <v>153.72</v>
      </c>
      <c r="G108" s="44">
        <v>585.43</v>
      </c>
      <c r="H108" s="51">
        <v>320.213</v>
      </c>
      <c r="I108" s="52">
        <f t="shared" si="15"/>
        <v>320</v>
      </c>
      <c r="J108" s="46" t="s">
        <v>470</v>
      </c>
      <c r="K108" s="46">
        <f t="shared" si="1"/>
        <v>3</v>
      </c>
      <c r="L108" s="46">
        <f t="shared" si="2"/>
        <v>0.933</v>
      </c>
      <c r="M108" s="46">
        <f t="shared" si="3"/>
        <v>3</v>
      </c>
      <c r="N108" s="46">
        <f t="shared" si="4"/>
        <v>0.336</v>
      </c>
      <c r="O108" s="46">
        <f t="shared" si="5"/>
        <v>4</v>
      </c>
      <c r="P108" s="46">
        <f t="shared" si="6"/>
        <v>0.644</v>
      </c>
      <c r="Q108" s="46">
        <f t="array" ref="Q108">IFS(E108="AA",5,E108="BB",4,E108="CC",3,E108="DD",2, E108="EE",1,E108="DDR",1)</f>
        <v>4</v>
      </c>
      <c r="R108" s="46">
        <f t="shared" si="7"/>
        <v>0.76</v>
      </c>
      <c r="S108" s="46">
        <f t="shared" si="8"/>
        <v>5</v>
      </c>
      <c r="T108" s="46">
        <f t="shared" si="9"/>
        <v>0.25</v>
      </c>
      <c r="U108" s="46">
        <f t="shared" si="10"/>
        <v>2</v>
      </c>
      <c r="V108" s="46">
        <f t="shared" si="11"/>
        <v>0.072</v>
      </c>
      <c r="W108" s="46">
        <f t="shared" si="23"/>
        <v>4</v>
      </c>
      <c r="X108" s="46">
        <f t="shared" si="17"/>
        <v>0.268</v>
      </c>
      <c r="Y108" s="46">
        <f t="array" ref="Y108">IFS(
J108="hutan",5,
J108="hutan, sungai",5,
J108="pekarangan",1,
J108="hutan, jalan desa",3,
J108="hutan, kebun sawit",1,
J108="hutan, jalan",3,
J108="sawah",3,
J108="kebun",3,
J108="sawah, kebun",1,
J108="kebun sawit",1,
J108="Lahan GI",5,
J108="kebun sawit, jalan provinsi",1,
J108="lahan kosong",5,
J108="kebun, lahan kosong",3,
J108="jalan desa, kebun sawit",1,
J108="sungai",5
)</f>
        <v>3</v>
      </c>
      <c r="Z108" s="46">
        <f t="shared" si="12"/>
        <v>0.219</v>
      </c>
      <c r="AA108" s="46">
        <f t="shared" si="13"/>
        <v>3.482</v>
      </c>
      <c r="AB108" s="46">
        <f t="shared" si="14"/>
        <v>3</v>
      </c>
    </row>
    <row r="109" ht="14.25" customHeight="1">
      <c r="A109" s="6" t="s">
        <v>385</v>
      </c>
      <c r="B109" s="44">
        <v>2.0</v>
      </c>
      <c r="C109" s="7">
        <v>2.0</v>
      </c>
      <c r="D109" s="44">
        <v>75.87</v>
      </c>
      <c r="E109" s="44" t="s">
        <v>109</v>
      </c>
      <c r="F109" s="44">
        <v>164.35</v>
      </c>
      <c r="G109" s="44">
        <v>895.55</v>
      </c>
      <c r="H109" s="51">
        <v>380.777</v>
      </c>
      <c r="I109" s="52">
        <f t="shared" si="15"/>
        <v>381</v>
      </c>
      <c r="J109" s="46" t="s">
        <v>470</v>
      </c>
      <c r="K109" s="46">
        <f t="shared" si="1"/>
        <v>3</v>
      </c>
      <c r="L109" s="46">
        <f t="shared" si="2"/>
        <v>0.933</v>
      </c>
      <c r="M109" s="46">
        <f t="shared" si="3"/>
        <v>3</v>
      </c>
      <c r="N109" s="46">
        <f t="shared" si="4"/>
        <v>0.336</v>
      </c>
      <c r="O109" s="46">
        <f t="shared" si="5"/>
        <v>4</v>
      </c>
      <c r="P109" s="46">
        <f t="shared" si="6"/>
        <v>0.644</v>
      </c>
      <c r="Q109" s="46">
        <f t="array" ref="Q109">IFS(E109="AA",5,E109="BB",4,E109="CC",3,E109="DD",2, E109="EE",1,E109="DDR",1)</f>
        <v>4</v>
      </c>
      <c r="R109" s="46">
        <f t="shared" si="7"/>
        <v>0.76</v>
      </c>
      <c r="S109" s="46">
        <f t="shared" si="8"/>
        <v>5</v>
      </c>
      <c r="T109" s="46">
        <f t="shared" si="9"/>
        <v>0.25</v>
      </c>
      <c r="U109" s="46">
        <f t="shared" si="10"/>
        <v>2</v>
      </c>
      <c r="V109" s="46">
        <f t="shared" si="11"/>
        <v>0.072</v>
      </c>
      <c r="W109" s="46">
        <v>2.0</v>
      </c>
      <c r="X109" s="46">
        <f t="shared" si="17"/>
        <v>0.134</v>
      </c>
      <c r="Y109" s="46">
        <f t="array" ref="Y109">IFS(
J109="hutan",5,
J109="hutan, sungai",5,
J109="pekarangan",1,
J109="hutan, jalan desa",3,
J109="hutan, kebun sawit",1,
J109="hutan, jalan",3,
J109="sawah",3,
J109="kebun",3,
J109="sawah, kebun",1,
J109="kebun sawit",1,
J109="Lahan GI",5,
J109="kebun sawit, jalan provinsi",1,
J109="lahan kosong",5,
J109="kebun, lahan kosong",3,
J109="jalan desa, kebun sawit",1,
J109="sungai",5
)</f>
        <v>3</v>
      </c>
      <c r="Z109" s="46">
        <f t="shared" si="12"/>
        <v>0.219</v>
      </c>
      <c r="AA109" s="46">
        <f t="shared" si="13"/>
        <v>3.348</v>
      </c>
      <c r="AB109" s="46">
        <f t="shared" si="14"/>
        <v>3</v>
      </c>
    </row>
    <row r="110" ht="14.25" customHeight="1">
      <c r="A110" s="6" t="s">
        <v>388</v>
      </c>
      <c r="B110" s="44">
        <v>1.0</v>
      </c>
      <c r="C110" s="7">
        <v>2.0</v>
      </c>
      <c r="D110" s="44">
        <v>73.44</v>
      </c>
      <c r="E110" s="44" t="s">
        <v>175</v>
      </c>
      <c r="F110" s="44">
        <v>163.16</v>
      </c>
      <c r="G110" s="44">
        <v>1359.67</v>
      </c>
      <c r="H110" s="51">
        <v>380.335</v>
      </c>
      <c r="I110" s="52">
        <f t="shared" si="15"/>
        <v>380</v>
      </c>
      <c r="J110" s="46" t="s">
        <v>474</v>
      </c>
      <c r="K110" s="46">
        <f t="shared" si="1"/>
        <v>5</v>
      </c>
      <c r="L110" s="46">
        <f t="shared" si="2"/>
        <v>1.555</v>
      </c>
      <c r="M110" s="46">
        <f t="shared" si="3"/>
        <v>3</v>
      </c>
      <c r="N110" s="46">
        <f t="shared" si="4"/>
        <v>0.336</v>
      </c>
      <c r="O110" s="46">
        <f t="shared" si="5"/>
        <v>4</v>
      </c>
      <c r="P110" s="46">
        <f t="shared" si="6"/>
        <v>0.644</v>
      </c>
      <c r="Q110" s="46">
        <f t="array" ref="Q110">IFS(E110="AA",5,E110="BB",4,E110="CC",3,E110="DD",2, E110="EE",1,E110="DDR",1)</f>
        <v>5</v>
      </c>
      <c r="R110" s="46">
        <f t="shared" si="7"/>
        <v>0.95</v>
      </c>
      <c r="S110" s="46">
        <f t="shared" si="8"/>
        <v>5</v>
      </c>
      <c r="T110" s="46">
        <f t="shared" si="9"/>
        <v>0.25</v>
      </c>
      <c r="U110" s="46">
        <f t="shared" si="10"/>
        <v>3</v>
      </c>
      <c r="V110" s="46">
        <f t="shared" si="11"/>
        <v>0.108</v>
      </c>
      <c r="W110" s="46">
        <v>2.0</v>
      </c>
      <c r="X110" s="46">
        <f t="shared" si="17"/>
        <v>0.134</v>
      </c>
      <c r="Y110" s="46">
        <f t="array" ref="Y110">IFS(
J110="hutan",5,
J110="hutan, sungai",5,
J110="pekarangan",1,
J110="hutan, jalan desa",3,
J110="hutan, kebun sawit",1,
J110="hutan, jalan",3,
J110="sawah",3,
J110="kebun",3,
J110="sawah, kebun",1,
J110="kebun sawit",1,
J110="Lahan GI",5,
J110="kebun sawit, jalan provinsi",1,
J110="lahan kosong",5,
J110="kebun, lahan kosong",3,
J110="jalan desa, kebun sawit",1,
J110="sungai",5
)</f>
        <v>3</v>
      </c>
      <c r="Z110" s="46">
        <f t="shared" si="12"/>
        <v>0.219</v>
      </c>
      <c r="AA110" s="46">
        <f t="shared" si="13"/>
        <v>4.196</v>
      </c>
      <c r="AB110" s="46">
        <f t="shared" si="14"/>
        <v>4</v>
      </c>
    </row>
    <row r="111" ht="14.25" customHeight="1">
      <c r="A111" s="6" t="s">
        <v>391</v>
      </c>
      <c r="B111" s="44">
        <v>1.0</v>
      </c>
      <c r="C111" s="7">
        <v>3.0</v>
      </c>
      <c r="D111" s="44">
        <v>72.43</v>
      </c>
      <c r="E111" s="44" t="s">
        <v>175</v>
      </c>
      <c r="F111" s="44">
        <v>173.81</v>
      </c>
      <c r="G111" s="44">
        <v>1174.46</v>
      </c>
      <c r="H111" s="51">
        <v>395.975</v>
      </c>
      <c r="I111" s="52">
        <f t="shared" si="15"/>
        <v>396</v>
      </c>
      <c r="J111" s="46" t="s">
        <v>483</v>
      </c>
      <c r="K111" s="46">
        <f t="shared" si="1"/>
        <v>5</v>
      </c>
      <c r="L111" s="46">
        <f t="shared" si="2"/>
        <v>1.555</v>
      </c>
      <c r="M111" s="46">
        <f t="shared" si="3"/>
        <v>1</v>
      </c>
      <c r="N111" s="46">
        <f t="shared" si="4"/>
        <v>0.112</v>
      </c>
      <c r="O111" s="46">
        <f t="shared" si="5"/>
        <v>4</v>
      </c>
      <c r="P111" s="46">
        <f t="shared" si="6"/>
        <v>0.644</v>
      </c>
      <c r="Q111" s="46">
        <f t="array" ref="Q111">IFS(E111="AA",5,E111="BB",4,E111="CC",3,E111="DD",2, E111="EE",1,E111="DDR",1)</f>
        <v>5</v>
      </c>
      <c r="R111" s="46">
        <f t="shared" si="7"/>
        <v>0.95</v>
      </c>
      <c r="S111" s="46">
        <f t="shared" si="8"/>
        <v>5</v>
      </c>
      <c r="T111" s="46">
        <f t="shared" si="9"/>
        <v>0.25</v>
      </c>
      <c r="U111" s="46">
        <f t="shared" si="10"/>
        <v>2</v>
      </c>
      <c r="V111" s="46">
        <f t="shared" si="11"/>
        <v>0.072</v>
      </c>
      <c r="W111" s="46">
        <f t="shared" ref="W111:W112" si="24">MAX(1,MIN(5,
ROUND(5-(ABS(H111-275)/(275-100)*4),0)
))</f>
        <v>2</v>
      </c>
      <c r="X111" s="46">
        <f t="shared" si="17"/>
        <v>0.134</v>
      </c>
      <c r="Y111" s="46">
        <f t="array" ref="Y111">IFS(
J111="hutan",5,
J111="hutan, sungai",5,
J111="pekarangan",1,
J111="hutan, jalan desa",3,
J111="hutan, kebun sawit",1,
J111="hutan, jalan",3,
J111="sawah",3,
J111="kebun",3,
J111="sawah, kebun",1,
J111="kebun sawit",1,
J111="Lahan GI",5,
J111="kebun sawit, jalan provinsi",1,
J111="lahan kosong",5,
J111="kebun, lahan kosong",3,
J111="jalan desa, kebun sawit",1,
J111="sungai",5
)</f>
        <v>1</v>
      </c>
      <c r="Z111" s="46">
        <f t="shared" si="12"/>
        <v>0.073</v>
      </c>
      <c r="AA111" s="46">
        <f t="shared" si="13"/>
        <v>3.79</v>
      </c>
      <c r="AB111" s="46">
        <f t="shared" si="14"/>
        <v>4</v>
      </c>
    </row>
    <row r="112" ht="14.25" customHeight="1">
      <c r="A112" s="6" t="s">
        <v>394</v>
      </c>
      <c r="B112" s="44">
        <v>1.0</v>
      </c>
      <c r="C112" s="7">
        <v>2.0</v>
      </c>
      <c r="D112" s="44">
        <v>66.46</v>
      </c>
      <c r="E112" s="44" t="s">
        <v>175</v>
      </c>
      <c r="F112" s="44">
        <v>165.34</v>
      </c>
      <c r="G112" s="44">
        <v>2165.75</v>
      </c>
      <c r="H112" s="51">
        <v>366.768</v>
      </c>
      <c r="I112" s="52">
        <f t="shared" si="15"/>
        <v>367</v>
      </c>
      <c r="J112" s="46" t="s">
        <v>470</v>
      </c>
      <c r="K112" s="46">
        <f t="shared" si="1"/>
        <v>5</v>
      </c>
      <c r="L112" s="46">
        <f t="shared" si="2"/>
        <v>1.555</v>
      </c>
      <c r="M112" s="46">
        <f t="shared" si="3"/>
        <v>3</v>
      </c>
      <c r="N112" s="46">
        <f t="shared" si="4"/>
        <v>0.336</v>
      </c>
      <c r="O112" s="46">
        <f t="shared" si="5"/>
        <v>4</v>
      </c>
      <c r="P112" s="46">
        <f t="shared" si="6"/>
        <v>0.644</v>
      </c>
      <c r="Q112" s="46">
        <f t="array" ref="Q112">IFS(E112="AA",5,E112="BB",4,E112="CC",3,E112="DD",2, E112="EE",1,E112="DDR",1)</f>
        <v>5</v>
      </c>
      <c r="R112" s="46">
        <f t="shared" si="7"/>
        <v>0.95</v>
      </c>
      <c r="S112" s="46">
        <f t="shared" si="8"/>
        <v>5</v>
      </c>
      <c r="T112" s="46">
        <f t="shared" si="9"/>
        <v>0.25</v>
      </c>
      <c r="U112" s="46">
        <f t="shared" si="10"/>
        <v>3</v>
      </c>
      <c r="V112" s="46">
        <f t="shared" si="11"/>
        <v>0.108</v>
      </c>
      <c r="W112" s="46">
        <f t="shared" si="24"/>
        <v>3</v>
      </c>
      <c r="X112" s="46">
        <f t="shared" si="17"/>
        <v>0.201</v>
      </c>
      <c r="Y112" s="46">
        <f t="array" ref="Y112">IFS(
J112="hutan",5,
J112="hutan, sungai",5,
J112="pekarangan",1,
J112="hutan, jalan desa",3,
J112="hutan, kebun sawit",1,
J112="hutan, jalan",3,
J112="sawah",3,
J112="kebun",3,
J112="sawah, kebun",1,
J112="kebun sawit",1,
J112="Lahan GI",5,
J112="kebun sawit, jalan provinsi",1,
J112="lahan kosong",5,
J112="kebun, lahan kosong",3,
J112="jalan desa, kebun sawit",1,
J112="sungai",5
)</f>
        <v>3</v>
      </c>
      <c r="Z112" s="46">
        <f t="shared" si="12"/>
        <v>0.219</v>
      </c>
      <c r="AA112" s="46">
        <f t="shared" si="13"/>
        <v>4.263</v>
      </c>
      <c r="AB112" s="46">
        <f t="shared" si="14"/>
        <v>4</v>
      </c>
    </row>
    <row r="113" ht="14.25" customHeight="1">
      <c r="A113" s="6" t="s">
        <v>397</v>
      </c>
      <c r="B113" s="44">
        <v>1.0</v>
      </c>
      <c r="C113" s="7">
        <v>2.0</v>
      </c>
      <c r="D113" s="44">
        <v>64.4</v>
      </c>
      <c r="E113" s="44" t="s">
        <v>175</v>
      </c>
      <c r="F113" s="44">
        <v>170.3</v>
      </c>
      <c r="G113" s="44">
        <v>1836.09</v>
      </c>
      <c r="H113" s="51">
        <v>381.494</v>
      </c>
      <c r="I113" s="52">
        <f t="shared" si="15"/>
        <v>381</v>
      </c>
      <c r="J113" s="46" t="s">
        <v>474</v>
      </c>
      <c r="K113" s="46">
        <f t="shared" si="1"/>
        <v>5</v>
      </c>
      <c r="L113" s="46">
        <f t="shared" si="2"/>
        <v>1.555</v>
      </c>
      <c r="M113" s="46">
        <f t="shared" si="3"/>
        <v>3</v>
      </c>
      <c r="N113" s="46">
        <f t="shared" si="4"/>
        <v>0.336</v>
      </c>
      <c r="O113" s="46">
        <f t="shared" si="5"/>
        <v>4</v>
      </c>
      <c r="P113" s="46">
        <f t="shared" si="6"/>
        <v>0.644</v>
      </c>
      <c r="Q113" s="46">
        <f t="array" ref="Q113">IFS(E113="AA",5,E113="BB",4,E113="CC",3,E113="DD",2, E113="EE",1,E113="DDR",1)</f>
        <v>5</v>
      </c>
      <c r="R113" s="46">
        <f t="shared" si="7"/>
        <v>0.95</v>
      </c>
      <c r="S113" s="46">
        <f t="shared" si="8"/>
        <v>5</v>
      </c>
      <c r="T113" s="46">
        <f t="shared" si="9"/>
        <v>0.25</v>
      </c>
      <c r="U113" s="46">
        <f t="shared" si="10"/>
        <v>3</v>
      </c>
      <c r="V113" s="46">
        <f t="shared" si="11"/>
        <v>0.108</v>
      </c>
      <c r="W113" s="46">
        <v>2.0</v>
      </c>
      <c r="X113" s="46">
        <f t="shared" si="17"/>
        <v>0.134</v>
      </c>
      <c r="Y113" s="46">
        <f t="array" ref="Y113">IFS(
J113="hutan",5,
J113="hutan, sungai",5,
J113="pekarangan",1,
J113="hutan, jalan desa",3,
J113="hutan, kebun sawit",1,
J113="hutan, jalan",3,
J113="sawah",3,
J113="kebun",3,
J113="sawah, kebun",1,
J113="kebun sawit",1,
J113="Lahan GI",5,
J113="kebun sawit, jalan provinsi",1,
J113="lahan kosong",5,
J113="kebun, lahan kosong",3,
J113="jalan desa, kebun sawit",1,
J113="sungai",5
)</f>
        <v>3</v>
      </c>
      <c r="Z113" s="46">
        <f t="shared" si="12"/>
        <v>0.219</v>
      </c>
      <c r="AA113" s="46">
        <f t="shared" si="13"/>
        <v>4.196</v>
      </c>
      <c r="AB113" s="46">
        <f t="shared" si="14"/>
        <v>4</v>
      </c>
    </row>
    <row r="114" ht="14.25" customHeight="1">
      <c r="A114" s="6" t="s">
        <v>400</v>
      </c>
      <c r="B114" s="44">
        <v>1.0</v>
      </c>
      <c r="C114" s="7">
        <v>2.0</v>
      </c>
      <c r="D114" s="44">
        <v>60.13</v>
      </c>
      <c r="E114" s="44" t="s">
        <v>175</v>
      </c>
      <c r="F114" s="44">
        <v>205.73</v>
      </c>
      <c r="G114" s="44">
        <v>1381.52</v>
      </c>
      <c r="H114" s="51">
        <v>379.336</v>
      </c>
      <c r="I114" s="52">
        <f t="shared" si="15"/>
        <v>379</v>
      </c>
      <c r="J114" s="46" t="s">
        <v>474</v>
      </c>
      <c r="K114" s="46">
        <f t="shared" si="1"/>
        <v>5</v>
      </c>
      <c r="L114" s="46">
        <f t="shared" si="2"/>
        <v>1.555</v>
      </c>
      <c r="M114" s="46">
        <f t="shared" si="3"/>
        <v>3</v>
      </c>
      <c r="N114" s="46">
        <f t="shared" si="4"/>
        <v>0.336</v>
      </c>
      <c r="O114" s="46">
        <f t="shared" si="5"/>
        <v>4</v>
      </c>
      <c r="P114" s="46">
        <f t="shared" si="6"/>
        <v>0.644</v>
      </c>
      <c r="Q114" s="46">
        <f t="array" ref="Q114">IFS(E114="AA",5,E114="BB",4,E114="CC",3,E114="DD",2, E114="EE",1,E114="DDR",1)</f>
        <v>5</v>
      </c>
      <c r="R114" s="46">
        <f t="shared" si="7"/>
        <v>0.95</v>
      </c>
      <c r="S114" s="46">
        <f t="shared" si="8"/>
        <v>4</v>
      </c>
      <c r="T114" s="46">
        <f t="shared" si="9"/>
        <v>0.2</v>
      </c>
      <c r="U114" s="46">
        <f t="shared" si="10"/>
        <v>3</v>
      </c>
      <c r="V114" s="46">
        <f t="shared" si="11"/>
        <v>0.108</v>
      </c>
      <c r="W114" s="46">
        <f>MAX(1,MIN(5,
ROUND(5-(ABS(H114-275)/(275-100)*4),0)
))</f>
        <v>3</v>
      </c>
      <c r="X114" s="46">
        <f t="shared" si="17"/>
        <v>0.201</v>
      </c>
      <c r="Y114" s="46">
        <f t="array" ref="Y114">IFS(
J114="hutan",5,
J114="hutan, sungai",5,
J114="pekarangan",1,
J114="hutan, jalan desa",3,
J114="hutan, kebun sawit",1,
J114="hutan, jalan",3,
J114="sawah",3,
J114="kebun",3,
J114="sawah, kebun",1,
J114="kebun sawit",1,
J114="Lahan GI",5,
J114="kebun sawit, jalan provinsi",1,
J114="lahan kosong",5,
J114="kebun, lahan kosong",3,
J114="jalan desa, kebun sawit",1,
J114="sungai",5
)</f>
        <v>3</v>
      </c>
      <c r="Z114" s="46">
        <f t="shared" si="12"/>
        <v>0.219</v>
      </c>
      <c r="AA114" s="46">
        <f t="shared" si="13"/>
        <v>4.213</v>
      </c>
      <c r="AB114" s="46">
        <f t="shared" si="14"/>
        <v>4</v>
      </c>
    </row>
    <row r="115" ht="14.25" customHeight="1">
      <c r="A115" s="6" t="s">
        <v>403</v>
      </c>
      <c r="B115" s="44">
        <v>1.0</v>
      </c>
      <c r="C115" s="7">
        <v>2.0</v>
      </c>
      <c r="D115" s="44">
        <v>53.16</v>
      </c>
      <c r="E115" s="44" t="s">
        <v>175</v>
      </c>
      <c r="F115" s="44">
        <v>179.48</v>
      </c>
      <c r="G115" s="44">
        <v>1109.7</v>
      </c>
      <c r="H115" s="51">
        <v>380.846</v>
      </c>
      <c r="I115" s="52">
        <f t="shared" si="15"/>
        <v>381</v>
      </c>
      <c r="J115" s="46" t="s">
        <v>474</v>
      </c>
      <c r="K115" s="46">
        <f t="shared" si="1"/>
        <v>5</v>
      </c>
      <c r="L115" s="46">
        <f t="shared" si="2"/>
        <v>1.555</v>
      </c>
      <c r="M115" s="46">
        <f t="shared" si="3"/>
        <v>3</v>
      </c>
      <c r="N115" s="46">
        <f t="shared" si="4"/>
        <v>0.336</v>
      </c>
      <c r="O115" s="46">
        <f t="shared" si="5"/>
        <v>4</v>
      </c>
      <c r="P115" s="46">
        <f t="shared" si="6"/>
        <v>0.644</v>
      </c>
      <c r="Q115" s="46">
        <f t="array" ref="Q115">IFS(E115="AA",5,E115="BB",4,E115="CC",3,E115="DD",2, E115="EE",1,E115="DDR",1)</f>
        <v>5</v>
      </c>
      <c r="R115" s="46">
        <f t="shared" si="7"/>
        <v>0.95</v>
      </c>
      <c r="S115" s="46">
        <f t="shared" si="8"/>
        <v>4</v>
      </c>
      <c r="T115" s="46">
        <f t="shared" si="9"/>
        <v>0.2</v>
      </c>
      <c r="U115" s="46">
        <f t="shared" si="10"/>
        <v>2</v>
      </c>
      <c r="V115" s="46">
        <f t="shared" si="11"/>
        <v>0.072</v>
      </c>
      <c r="W115" s="46">
        <v>2.0</v>
      </c>
      <c r="X115" s="46">
        <f t="shared" si="17"/>
        <v>0.134</v>
      </c>
      <c r="Y115" s="46">
        <f t="array" ref="Y115">IFS(
J115="hutan",5,
J115="hutan, sungai",5,
J115="pekarangan",1,
J115="hutan, jalan desa",3,
J115="hutan, kebun sawit",1,
J115="hutan, jalan",3,
J115="sawah",3,
J115="kebun",3,
J115="sawah, kebun",1,
J115="kebun sawit",1,
J115="Lahan GI",5,
J115="kebun sawit, jalan provinsi",1,
J115="lahan kosong",5,
J115="kebun, lahan kosong",3,
J115="jalan desa, kebun sawit",1,
J115="sungai",5
)</f>
        <v>3</v>
      </c>
      <c r="Z115" s="46">
        <f t="shared" si="12"/>
        <v>0.219</v>
      </c>
      <c r="AA115" s="46">
        <f t="shared" si="13"/>
        <v>4.11</v>
      </c>
      <c r="AB115" s="46">
        <f t="shared" si="14"/>
        <v>4</v>
      </c>
    </row>
    <row r="116" ht="14.25" customHeight="1">
      <c r="A116" s="6" t="s">
        <v>406</v>
      </c>
      <c r="B116" s="44">
        <v>1.0</v>
      </c>
      <c r="C116" s="7">
        <v>2.0</v>
      </c>
      <c r="D116" s="44">
        <v>49.77</v>
      </c>
      <c r="E116" s="44" t="s">
        <v>109</v>
      </c>
      <c r="F116" s="44">
        <v>56.26</v>
      </c>
      <c r="G116" s="44">
        <v>881.31</v>
      </c>
      <c r="H116" s="51">
        <v>380.404</v>
      </c>
      <c r="I116" s="52">
        <f t="shared" si="15"/>
        <v>380</v>
      </c>
      <c r="J116" s="46" t="s">
        <v>474</v>
      </c>
      <c r="K116" s="46">
        <f t="shared" si="1"/>
        <v>5</v>
      </c>
      <c r="L116" s="46">
        <f t="shared" si="2"/>
        <v>1.555</v>
      </c>
      <c r="M116" s="46">
        <f t="shared" si="3"/>
        <v>3</v>
      </c>
      <c r="N116" s="46">
        <f t="shared" si="4"/>
        <v>0.336</v>
      </c>
      <c r="O116" s="46">
        <f t="shared" si="5"/>
        <v>4</v>
      </c>
      <c r="P116" s="46">
        <f t="shared" si="6"/>
        <v>0.644</v>
      </c>
      <c r="Q116" s="46">
        <f t="array" ref="Q116">IFS(E116="AA",5,E116="BB",4,E116="CC",3,E116="DD",2, E116="EE",1,E116="DDR",1)</f>
        <v>4</v>
      </c>
      <c r="R116" s="46">
        <f t="shared" si="7"/>
        <v>0.76</v>
      </c>
      <c r="S116" s="46">
        <f t="shared" si="8"/>
        <v>5</v>
      </c>
      <c r="T116" s="46">
        <f t="shared" si="9"/>
        <v>0.25</v>
      </c>
      <c r="U116" s="46">
        <f t="shared" si="10"/>
        <v>2</v>
      </c>
      <c r="V116" s="46">
        <f t="shared" si="11"/>
        <v>0.072</v>
      </c>
      <c r="W116" s="46">
        <v>2.0</v>
      </c>
      <c r="X116" s="46">
        <f t="shared" si="17"/>
        <v>0.134</v>
      </c>
      <c r="Y116" s="46">
        <f t="array" ref="Y116">IFS(
J116="hutan",5,
J116="hutan, sungai",5,
J116="pekarangan",1,
J116="hutan, jalan desa",3,
J116="hutan, kebun sawit",1,
J116="hutan, jalan",3,
J116="sawah",3,
J116="kebun",3,
J116="sawah, kebun",1,
J116="kebun sawit",1,
J116="Lahan GI",5,
J116="kebun sawit, jalan provinsi",1,
J116="lahan kosong",5,
J116="kebun, lahan kosong",3,
J116="jalan desa, kebun sawit",1,
J116="sungai",5
)</f>
        <v>3</v>
      </c>
      <c r="Z116" s="46">
        <f t="shared" si="12"/>
        <v>0.219</v>
      </c>
      <c r="AA116" s="46">
        <f t="shared" si="13"/>
        <v>3.97</v>
      </c>
      <c r="AB116" s="46">
        <f t="shared" si="14"/>
        <v>4</v>
      </c>
    </row>
    <row r="117" ht="14.25" customHeight="1">
      <c r="A117" s="6" t="s">
        <v>409</v>
      </c>
      <c r="B117" s="44">
        <v>3.0</v>
      </c>
      <c r="C117" s="7">
        <v>2.0</v>
      </c>
      <c r="D117" s="44">
        <v>54.99</v>
      </c>
      <c r="E117" s="44" t="s">
        <v>85</v>
      </c>
      <c r="F117" s="44">
        <v>107.41</v>
      </c>
      <c r="G117" s="44">
        <v>540.28</v>
      </c>
      <c r="H117" s="51">
        <v>321.744</v>
      </c>
      <c r="I117" s="52">
        <f t="shared" si="15"/>
        <v>322</v>
      </c>
      <c r="J117" s="46" t="s">
        <v>481</v>
      </c>
      <c r="K117" s="46">
        <f t="shared" si="1"/>
        <v>1</v>
      </c>
      <c r="L117" s="46">
        <f t="shared" si="2"/>
        <v>0.311</v>
      </c>
      <c r="M117" s="46">
        <f t="shared" si="3"/>
        <v>3</v>
      </c>
      <c r="N117" s="46">
        <f t="shared" si="4"/>
        <v>0.336</v>
      </c>
      <c r="O117" s="46">
        <f t="shared" si="5"/>
        <v>4</v>
      </c>
      <c r="P117" s="46">
        <f t="shared" si="6"/>
        <v>0.644</v>
      </c>
      <c r="Q117" s="46">
        <f t="array" ref="Q117">IFS(E117="AA",5,E117="BB",4,E117="CC",3,E117="DD",2, E117="EE",1,E117="DDR",1)</f>
        <v>1</v>
      </c>
      <c r="R117" s="46">
        <f t="shared" si="7"/>
        <v>0.19</v>
      </c>
      <c r="S117" s="46">
        <f t="shared" si="8"/>
        <v>5</v>
      </c>
      <c r="T117" s="46">
        <f t="shared" si="9"/>
        <v>0.25</v>
      </c>
      <c r="U117" s="46">
        <f t="shared" si="10"/>
        <v>2</v>
      </c>
      <c r="V117" s="46">
        <f t="shared" si="11"/>
        <v>0.072</v>
      </c>
      <c r="W117" s="46">
        <f>MAX(1,MIN(5,
ROUND(5-(ABS(H117-275)/(275-100)*4),0)
))</f>
        <v>4</v>
      </c>
      <c r="X117" s="46">
        <f t="shared" si="17"/>
        <v>0.268</v>
      </c>
      <c r="Y117" s="46">
        <f t="array" ref="Y117">IFS(
J117="hutan",5,
J117="hutan, sungai",5,
J117="pekarangan",1,
J117="hutan, jalan desa",3,
J117="hutan, kebun sawit",1,
J117="hutan, jalan",3,
J117="sawah",3,
J117="kebun",3,
J117="sawah, kebun",1,
J117="kebun sawit",1,
J117="Lahan GI",5,
J117="kebun sawit, jalan provinsi",1,
J117="lahan kosong",5,
J117="kebun, lahan kosong",3,
J117="jalan desa, kebun sawit",1,
J117="sungai",5
)</f>
        <v>5</v>
      </c>
      <c r="Z117" s="46">
        <f t="shared" si="12"/>
        <v>0.365</v>
      </c>
      <c r="AA117" s="46">
        <f t="shared" si="13"/>
        <v>2.436</v>
      </c>
      <c r="AB117" s="46">
        <f t="shared" si="14"/>
        <v>2</v>
      </c>
    </row>
    <row r="118" ht="14.25" customHeight="1">
      <c r="H118" s="64"/>
      <c r="W118" s="65"/>
      <c r="X118" s="46">
        <f t="shared" si="17"/>
        <v>0</v>
      </c>
    </row>
    <row r="119" ht="14.25" customHeight="1">
      <c r="H119" s="64"/>
      <c r="W119" s="65"/>
      <c r="X119" s="46">
        <f t="shared" si="17"/>
        <v>0</v>
      </c>
    </row>
    <row r="120" ht="14.25" customHeight="1">
      <c r="H120" s="64"/>
      <c r="W120" s="65"/>
      <c r="X120" s="46">
        <f t="shared" si="17"/>
        <v>0</v>
      </c>
    </row>
    <row r="121" ht="14.25" customHeight="1">
      <c r="H121" s="64"/>
      <c r="W121" s="65"/>
      <c r="X121" s="46">
        <f t="shared" si="17"/>
        <v>0</v>
      </c>
    </row>
    <row r="122" ht="14.25" customHeight="1">
      <c r="H122" s="64"/>
      <c r="W122" s="65"/>
      <c r="X122" s="46">
        <f t="shared" si="17"/>
        <v>0</v>
      </c>
    </row>
    <row r="123" ht="14.25" customHeight="1">
      <c r="H123" s="64"/>
      <c r="W123" s="65"/>
      <c r="X123" s="46">
        <f t="shared" si="17"/>
        <v>0</v>
      </c>
    </row>
    <row r="124" ht="14.25" customHeight="1">
      <c r="H124" s="64"/>
      <c r="W124" s="65"/>
    </row>
    <row r="125" ht="14.25" customHeight="1">
      <c r="H125" s="64"/>
      <c r="W125" s="65"/>
    </row>
    <row r="126" ht="14.25" customHeight="1">
      <c r="H126" s="64"/>
      <c r="W126" s="65"/>
    </row>
    <row r="127" ht="14.25" customHeight="1">
      <c r="H127" s="64"/>
      <c r="W127" s="65"/>
    </row>
    <row r="128" ht="14.25" customHeight="1">
      <c r="H128" s="64"/>
      <c r="W128" s="65"/>
    </row>
    <row r="129" ht="14.25" customHeight="1">
      <c r="H129" s="64"/>
      <c r="W129" s="65"/>
    </row>
    <row r="130" ht="14.25" customHeight="1">
      <c r="H130" s="64"/>
      <c r="W130" s="65"/>
    </row>
    <row r="131" ht="14.25" customHeight="1">
      <c r="H131" s="64"/>
      <c r="W131" s="65"/>
    </row>
    <row r="132" ht="14.25" customHeight="1">
      <c r="H132" s="64"/>
      <c r="W132" s="65"/>
    </row>
    <row r="133" ht="14.25" customHeight="1">
      <c r="H133" s="64"/>
      <c r="W133" s="65"/>
    </row>
    <row r="134" ht="14.25" customHeight="1">
      <c r="H134" s="64"/>
      <c r="W134" s="65"/>
    </row>
    <row r="135" ht="14.25" customHeight="1">
      <c r="H135" s="64"/>
      <c r="W135" s="65"/>
    </row>
    <row r="136" ht="14.25" customHeight="1">
      <c r="H136" s="64"/>
      <c r="W136" s="65"/>
    </row>
    <row r="137" ht="14.25" customHeight="1">
      <c r="H137" s="64"/>
      <c r="W137" s="65"/>
    </row>
    <row r="138" ht="14.25" customHeight="1">
      <c r="H138" s="64"/>
      <c r="W138" s="65"/>
    </row>
    <row r="139" ht="14.25" customHeight="1">
      <c r="H139" s="64"/>
      <c r="W139" s="65"/>
    </row>
    <row r="140" ht="14.25" customHeight="1">
      <c r="H140" s="64"/>
      <c r="W140" s="65"/>
    </row>
    <row r="141" ht="14.25" customHeight="1">
      <c r="H141" s="64"/>
      <c r="W141" s="65"/>
    </row>
    <row r="142" ht="14.25" customHeight="1">
      <c r="H142" s="64"/>
      <c r="W142" s="65"/>
    </row>
    <row r="143" ht="14.25" customHeight="1">
      <c r="H143" s="64"/>
      <c r="W143" s="65"/>
    </row>
    <row r="144" ht="14.25" customHeight="1">
      <c r="H144" s="64"/>
      <c r="W144" s="65"/>
    </row>
    <row r="145" ht="14.25" customHeight="1">
      <c r="H145" s="64"/>
      <c r="W145" s="65"/>
    </row>
    <row r="146" ht="14.25" customHeight="1">
      <c r="H146" s="64"/>
      <c r="W146" s="65"/>
    </row>
    <row r="147" ht="14.25" customHeight="1">
      <c r="H147" s="64"/>
      <c r="W147" s="65"/>
    </row>
    <row r="148" ht="14.25" customHeight="1">
      <c r="H148" s="64"/>
      <c r="W148" s="65"/>
    </row>
    <row r="149" ht="14.25" customHeight="1">
      <c r="H149" s="64"/>
      <c r="W149" s="65"/>
    </row>
    <row r="150" ht="14.25" customHeight="1">
      <c r="H150" s="64"/>
      <c r="W150" s="65"/>
    </row>
    <row r="151" ht="14.25" customHeight="1">
      <c r="H151" s="64"/>
      <c r="W151" s="65"/>
    </row>
    <row r="152" ht="14.25" customHeight="1">
      <c r="H152" s="64"/>
      <c r="W152" s="65"/>
    </row>
    <row r="153" ht="14.25" customHeight="1">
      <c r="H153" s="64"/>
      <c r="W153" s="65"/>
    </row>
    <row r="154" ht="14.25" customHeight="1">
      <c r="H154" s="64"/>
      <c r="W154" s="65"/>
    </row>
    <row r="155" ht="14.25" customHeight="1">
      <c r="H155" s="64"/>
      <c r="W155" s="65"/>
    </row>
    <row r="156" ht="14.25" customHeight="1">
      <c r="H156" s="64"/>
      <c r="W156" s="65"/>
    </row>
    <row r="157" ht="14.25" customHeight="1">
      <c r="H157" s="64"/>
      <c r="W157" s="65"/>
    </row>
    <row r="158" ht="14.25" customHeight="1">
      <c r="H158" s="64"/>
      <c r="W158" s="65"/>
    </row>
    <row r="159" ht="14.25" customHeight="1">
      <c r="H159" s="64"/>
      <c r="W159" s="65"/>
    </row>
    <row r="160" ht="14.25" customHeight="1">
      <c r="H160" s="64"/>
      <c r="W160" s="65"/>
    </row>
    <row r="161" ht="14.25" customHeight="1">
      <c r="H161" s="64"/>
      <c r="W161" s="65"/>
    </row>
    <row r="162" ht="14.25" customHeight="1">
      <c r="H162" s="64"/>
      <c r="W162" s="65"/>
    </row>
    <row r="163" ht="14.25" customHeight="1">
      <c r="H163" s="64"/>
      <c r="W163" s="65"/>
    </row>
    <row r="164" ht="14.25" customHeight="1">
      <c r="H164" s="64"/>
      <c r="W164" s="65"/>
    </row>
    <row r="165" ht="14.25" customHeight="1">
      <c r="H165" s="64"/>
      <c r="W165" s="65"/>
    </row>
    <row r="166" ht="14.25" customHeight="1">
      <c r="H166" s="64"/>
      <c r="W166" s="65"/>
    </row>
    <row r="167" ht="14.25" customHeight="1">
      <c r="H167" s="64"/>
      <c r="W167" s="65"/>
    </row>
    <row r="168" ht="14.25" customHeight="1">
      <c r="H168" s="64"/>
      <c r="W168" s="65"/>
    </row>
    <row r="169" ht="14.25" customHeight="1">
      <c r="H169" s="64"/>
      <c r="W169" s="65"/>
    </row>
    <row r="170" ht="14.25" customHeight="1">
      <c r="H170" s="64"/>
      <c r="W170" s="65"/>
    </row>
    <row r="171" ht="14.25" customHeight="1">
      <c r="H171" s="64"/>
      <c r="W171" s="65"/>
    </row>
    <row r="172" ht="14.25" customHeight="1">
      <c r="H172" s="64"/>
      <c r="W172" s="65"/>
    </row>
    <row r="173" ht="14.25" customHeight="1">
      <c r="H173" s="64"/>
      <c r="W173" s="65"/>
    </row>
    <row r="174" ht="14.25" customHeight="1">
      <c r="H174" s="64"/>
      <c r="W174" s="65"/>
    </row>
    <row r="175" ht="14.25" customHeight="1">
      <c r="H175" s="64"/>
      <c r="W175" s="65"/>
    </row>
    <row r="176" ht="14.25" customHeight="1">
      <c r="H176" s="64"/>
      <c r="W176" s="65"/>
    </row>
    <row r="177" ht="14.25" customHeight="1">
      <c r="H177" s="64"/>
      <c r="W177" s="65"/>
    </row>
    <row r="178" ht="14.25" customHeight="1">
      <c r="H178" s="64"/>
      <c r="W178" s="65"/>
    </row>
    <row r="179" ht="14.25" customHeight="1">
      <c r="H179" s="64"/>
      <c r="W179" s="65"/>
    </row>
    <row r="180" ht="14.25" customHeight="1">
      <c r="H180" s="64"/>
      <c r="W180" s="65"/>
    </row>
    <row r="181" ht="14.25" customHeight="1">
      <c r="H181" s="64"/>
      <c r="W181" s="65"/>
    </row>
    <row r="182" ht="14.25" customHeight="1">
      <c r="H182" s="64"/>
      <c r="W182" s="65"/>
    </row>
    <row r="183" ht="14.25" customHeight="1">
      <c r="H183" s="64"/>
      <c r="W183" s="65"/>
    </row>
    <row r="184" ht="14.25" customHeight="1">
      <c r="H184" s="64"/>
      <c r="W184" s="65"/>
    </row>
    <row r="185" ht="14.25" customHeight="1">
      <c r="H185" s="64"/>
      <c r="W185" s="65"/>
    </row>
    <row r="186" ht="14.25" customHeight="1">
      <c r="H186" s="64"/>
      <c r="W186" s="65"/>
    </row>
    <row r="187" ht="14.25" customHeight="1">
      <c r="H187" s="64"/>
      <c r="W187" s="65"/>
    </row>
    <row r="188" ht="14.25" customHeight="1">
      <c r="H188" s="64"/>
      <c r="W188" s="65"/>
    </row>
    <row r="189" ht="14.25" customHeight="1">
      <c r="H189" s="64"/>
      <c r="W189" s="65"/>
    </row>
    <row r="190" ht="14.25" customHeight="1">
      <c r="H190" s="64"/>
      <c r="W190" s="65"/>
    </row>
    <row r="191" ht="14.25" customHeight="1">
      <c r="H191" s="64"/>
      <c r="W191" s="65"/>
    </row>
    <row r="192" ht="14.25" customHeight="1">
      <c r="H192" s="64"/>
      <c r="W192" s="65"/>
    </row>
    <row r="193" ht="14.25" customHeight="1">
      <c r="H193" s="64"/>
      <c r="W193" s="65"/>
    </row>
    <row r="194" ht="14.25" customHeight="1">
      <c r="H194" s="64"/>
      <c r="W194" s="65"/>
    </row>
    <row r="195" ht="14.25" customHeight="1">
      <c r="H195" s="64"/>
      <c r="W195" s="65"/>
    </row>
    <row r="196" ht="14.25" customHeight="1">
      <c r="H196" s="64"/>
      <c r="W196" s="65"/>
    </row>
    <row r="197" ht="14.25" customHeight="1">
      <c r="H197" s="64"/>
      <c r="W197" s="65"/>
    </row>
    <row r="198" ht="14.25" customHeight="1">
      <c r="H198" s="64"/>
      <c r="W198" s="65"/>
    </row>
    <row r="199" ht="14.25" customHeight="1">
      <c r="H199" s="64"/>
      <c r="W199" s="65"/>
    </row>
    <row r="200" ht="14.25" customHeight="1">
      <c r="H200" s="64"/>
      <c r="W200" s="65"/>
    </row>
    <row r="201" ht="14.25" customHeight="1">
      <c r="H201" s="64"/>
      <c r="W201" s="65"/>
    </row>
    <row r="202" ht="14.25" customHeight="1">
      <c r="H202" s="64"/>
      <c r="W202" s="65"/>
    </row>
    <row r="203" ht="14.25" customHeight="1">
      <c r="H203" s="64"/>
      <c r="W203" s="65"/>
    </row>
    <row r="204" ht="14.25" customHeight="1">
      <c r="H204" s="64"/>
      <c r="W204" s="65"/>
    </row>
    <row r="205" ht="14.25" customHeight="1">
      <c r="H205" s="64"/>
      <c r="W205" s="65"/>
    </row>
    <row r="206" ht="14.25" customHeight="1">
      <c r="H206" s="64"/>
      <c r="W206" s="65"/>
    </row>
    <row r="207" ht="14.25" customHeight="1">
      <c r="H207" s="64"/>
      <c r="W207" s="65"/>
    </row>
    <row r="208" ht="14.25" customHeight="1">
      <c r="H208" s="64"/>
      <c r="W208" s="65"/>
    </row>
    <row r="209" ht="14.25" customHeight="1">
      <c r="H209" s="64"/>
      <c r="W209" s="65"/>
    </row>
    <row r="210" ht="14.25" customHeight="1">
      <c r="H210" s="64"/>
      <c r="W210" s="65"/>
    </row>
    <row r="211" ht="14.25" customHeight="1">
      <c r="H211" s="64"/>
      <c r="W211" s="65"/>
    </row>
    <row r="212" ht="14.25" customHeight="1">
      <c r="H212" s="64"/>
      <c r="W212" s="65"/>
    </row>
    <row r="213" ht="14.25" customHeight="1">
      <c r="H213" s="64"/>
      <c r="W213" s="65"/>
    </row>
    <row r="214" ht="14.25" customHeight="1">
      <c r="H214" s="64"/>
      <c r="W214" s="65"/>
    </row>
    <row r="215" ht="14.25" customHeight="1">
      <c r="H215" s="64"/>
      <c r="W215" s="65"/>
    </row>
    <row r="216" ht="14.25" customHeight="1">
      <c r="H216" s="64"/>
      <c r="W216" s="65"/>
    </row>
    <row r="217" ht="14.25" customHeight="1">
      <c r="H217" s="64"/>
      <c r="W217" s="65"/>
    </row>
    <row r="218" ht="14.25" customHeight="1">
      <c r="H218" s="64"/>
      <c r="W218" s="65"/>
    </row>
    <row r="219" ht="14.25" customHeight="1">
      <c r="H219" s="64"/>
      <c r="W219" s="65"/>
    </row>
    <row r="220" ht="14.25" customHeight="1">
      <c r="H220" s="64"/>
      <c r="W220" s="65"/>
    </row>
    <row r="221" ht="14.25" customHeight="1">
      <c r="H221" s="64"/>
      <c r="W221" s="65"/>
    </row>
    <row r="222" ht="14.25" customHeight="1">
      <c r="H222" s="64"/>
      <c r="W222" s="65"/>
    </row>
    <row r="223" ht="14.25" customHeight="1">
      <c r="H223" s="64"/>
      <c r="W223" s="65"/>
    </row>
    <row r="224" ht="14.25" customHeight="1">
      <c r="H224" s="64"/>
      <c r="W224" s="65"/>
    </row>
    <row r="225" ht="14.25" customHeight="1">
      <c r="H225" s="64"/>
      <c r="W225" s="65"/>
    </row>
    <row r="226" ht="14.25" customHeight="1">
      <c r="H226" s="64"/>
      <c r="W226" s="65"/>
    </row>
    <row r="227" ht="14.25" customHeight="1">
      <c r="H227" s="64"/>
      <c r="W227" s="65"/>
    </row>
    <row r="228" ht="14.25" customHeight="1">
      <c r="H228" s="64"/>
      <c r="W228" s="65"/>
    </row>
    <row r="229" ht="14.25" customHeight="1">
      <c r="H229" s="64"/>
      <c r="W229" s="65"/>
    </row>
    <row r="230" ht="14.25" customHeight="1">
      <c r="H230" s="64"/>
      <c r="W230" s="65"/>
    </row>
    <row r="231" ht="14.25" customHeight="1">
      <c r="H231" s="64"/>
      <c r="W231" s="65"/>
    </row>
    <row r="232" ht="14.25" customHeight="1">
      <c r="H232" s="64"/>
      <c r="W232" s="65"/>
    </row>
    <row r="233" ht="14.25" customHeight="1">
      <c r="H233" s="64"/>
      <c r="W233" s="65"/>
    </row>
    <row r="234" ht="14.25" customHeight="1">
      <c r="H234" s="64"/>
      <c r="W234" s="65"/>
    </row>
    <row r="235" ht="14.25" customHeight="1">
      <c r="H235" s="64"/>
      <c r="W235" s="65"/>
    </row>
    <row r="236" ht="14.25" customHeight="1">
      <c r="H236" s="64"/>
      <c r="W236" s="65"/>
    </row>
    <row r="237" ht="14.25" customHeight="1">
      <c r="H237" s="64"/>
      <c r="W237" s="65"/>
    </row>
    <row r="238" ht="14.25" customHeight="1">
      <c r="H238" s="64"/>
      <c r="W238" s="65"/>
    </row>
    <row r="239" ht="14.25" customHeight="1">
      <c r="H239" s="64"/>
      <c r="W239" s="65"/>
    </row>
    <row r="240" ht="14.25" customHeight="1">
      <c r="H240" s="64"/>
      <c r="W240" s="65"/>
    </row>
    <row r="241" ht="14.25" customHeight="1">
      <c r="H241" s="64"/>
      <c r="W241" s="65"/>
    </row>
    <row r="242" ht="14.25" customHeight="1">
      <c r="H242" s="64"/>
      <c r="W242" s="65"/>
    </row>
    <row r="243" ht="14.25" customHeight="1">
      <c r="H243" s="64"/>
      <c r="W243" s="65"/>
    </row>
    <row r="244" ht="14.25" customHeight="1">
      <c r="H244" s="64"/>
      <c r="W244" s="65"/>
    </row>
    <row r="245" ht="14.25" customHeight="1">
      <c r="H245" s="64"/>
      <c r="W245" s="65"/>
    </row>
    <row r="246" ht="14.25" customHeight="1">
      <c r="H246" s="64"/>
      <c r="W246" s="65"/>
    </row>
    <row r="247" ht="14.25" customHeight="1">
      <c r="H247" s="64"/>
      <c r="W247" s="65"/>
    </row>
    <row r="248" ht="14.25" customHeight="1">
      <c r="H248" s="64"/>
      <c r="W248" s="65"/>
    </row>
    <row r="249" ht="14.25" customHeight="1">
      <c r="H249" s="64"/>
      <c r="W249" s="65"/>
    </row>
    <row r="250" ht="14.25" customHeight="1">
      <c r="H250" s="64"/>
      <c r="W250" s="65"/>
    </row>
    <row r="251" ht="14.25" customHeight="1">
      <c r="H251" s="64"/>
      <c r="W251" s="65"/>
    </row>
    <row r="252" ht="14.25" customHeight="1">
      <c r="H252" s="64"/>
      <c r="W252" s="65"/>
    </row>
    <row r="253" ht="14.25" customHeight="1">
      <c r="H253" s="64"/>
      <c r="W253" s="65"/>
    </row>
    <row r="254" ht="14.25" customHeight="1">
      <c r="H254" s="64"/>
      <c r="W254" s="65"/>
    </row>
    <row r="255" ht="14.25" customHeight="1">
      <c r="H255" s="64"/>
      <c r="W255" s="65"/>
    </row>
    <row r="256" ht="14.25" customHeight="1">
      <c r="H256" s="64"/>
      <c r="W256" s="65"/>
    </row>
    <row r="257" ht="14.25" customHeight="1">
      <c r="H257" s="64"/>
      <c r="W257" s="65"/>
    </row>
    <row r="258" ht="14.25" customHeight="1">
      <c r="H258" s="64"/>
      <c r="W258" s="65"/>
    </row>
    <row r="259" ht="14.25" customHeight="1">
      <c r="H259" s="64"/>
      <c r="W259" s="65"/>
    </row>
    <row r="260" ht="14.25" customHeight="1">
      <c r="H260" s="64"/>
      <c r="W260" s="65"/>
    </row>
    <row r="261" ht="14.25" customHeight="1">
      <c r="H261" s="64"/>
      <c r="W261" s="65"/>
    </row>
    <row r="262" ht="14.25" customHeight="1">
      <c r="H262" s="64"/>
      <c r="W262" s="65"/>
    </row>
    <row r="263" ht="14.25" customHeight="1">
      <c r="H263" s="64"/>
      <c r="W263" s="65"/>
    </row>
    <row r="264" ht="14.25" customHeight="1">
      <c r="H264" s="64"/>
      <c r="W264" s="65"/>
    </row>
    <row r="265" ht="14.25" customHeight="1">
      <c r="H265" s="64"/>
      <c r="W265" s="65"/>
    </row>
    <row r="266" ht="14.25" customHeight="1">
      <c r="H266" s="64"/>
      <c r="W266" s="65"/>
    </row>
    <row r="267" ht="14.25" customHeight="1">
      <c r="H267" s="64"/>
      <c r="W267" s="65"/>
    </row>
    <row r="268" ht="14.25" customHeight="1">
      <c r="H268" s="64"/>
      <c r="W268" s="65"/>
    </row>
    <row r="269" ht="14.25" customHeight="1">
      <c r="H269" s="64"/>
      <c r="W269" s="65"/>
    </row>
    <row r="270" ht="14.25" customHeight="1">
      <c r="H270" s="64"/>
      <c r="W270" s="65"/>
    </row>
    <row r="271" ht="14.25" customHeight="1">
      <c r="H271" s="64"/>
      <c r="W271" s="65"/>
    </row>
    <row r="272" ht="14.25" customHeight="1">
      <c r="H272" s="64"/>
      <c r="W272" s="65"/>
    </row>
    <row r="273" ht="14.25" customHeight="1">
      <c r="H273" s="64"/>
      <c r="W273" s="65"/>
    </row>
    <row r="274" ht="14.25" customHeight="1">
      <c r="H274" s="64"/>
      <c r="W274" s="65"/>
    </row>
    <row r="275" ht="14.25" customHeight="1">
      <c r="H275" s="64"/>
      <c r="W275" s="65"/>
    </row>
    <row r="276" ht="14.25" customHeight="1">
      <c r="H276" s="64"/>
      <c r="W276" s="65"/>
    </row>
    <row r="277" ht="14.25" customHeight="1">
      <c r="H277" s="64"/>
      <c r="W277" s="65"/>
    </row>
    <row r="278" ht="14.25" customHeight="1">
      <c r="H278" s="64"/>
      <c r="W278" s="65"/>
    </row>
    <row r="279" ht="14.25" customHeight="1">
      <c r="H279" s="64"/>
      <c r="W279" s="65"/>
    </row>
    <row r="280" ht="14.25" customHeight="1">
      <c r="H280" s="64"/>
      <c r="W280" s="65"/>
    </row>
    <row r="281" ht="14.25" customHeight="1">
      <c r="H281" s="64"/>
      <c r="W281" s="65"/>
    </row>
    <row r="282" ht="14.25" customHeight="1">
      <c r="H282" s="64"/>
      <c r="W282" s="65"/>
    </row>
    <row r="283" ht="14.25" customHeight="1">
      <c r="H283" s="64"/>
      <c r="W283" s="65"/>
    </row>
    <row r="284" ht="14.25" customHeight="1">
      <c r="H284" s="64"/>
      <c r="W284" s="65"/>
    </row>
    <row r="285" ht="14.25" customHeight="1">
      <c r="H285" s="64"/>
      <c r="W285" s="65"/>
    </row>
    <row r="286" ht="14.25" customHeight="1">
      <c r="H286" s="64"/>
      <c r="W286" s="65"/>
    </row>
    <row r="287" ht="14.25" customHeight="1">
      <c r="H287" s="64"/>
      <c r="W287" s="65"/>
    </row>
    <row r="288" ht="14.25" customHeight="1">
      <c r="H288" s="64"/>
      <c r="W288" s="65"/>
    </row>
    <row r="289" ht="14.25" customHeight="1">
      <c r="H289" s="64"/>
      <c r="W289" s="65"/>
    </row>
    <row r="290" ht="14.25" customHeight="1">
      <c r="H290" s="64"/>
      <c r="W290" s="65"/>
    </row>
    <row r="291" ht="14.25" customHeight="1">
      <c r="H291" s="64"/>
      <c r="W291" s="65"/>
    </row>
    <row r="292" ht="14.25" customHeight="1">
      <c r="H292" s="64"/>
      <c r="W292" s="65"/>
    </row>
    <row r="293" ht="14.25" customHeight="1">
      <c r="H293" s="64"/>
      <c r="W293" s="65"/>
    </row>
    <row r="294" ht="14.25" customHeight="1">
      <c r="H294" s="64"/>
      <c r="W294" s="65"/>
    </row>
    <row r="295" ht="14.25" customHeight="1">
      <c r="H295" s="64"/>
      <c r="W295" s="65"/>
    </row>
    <row r="296" ht="14.25" customHeight="1">
      <c r="H296" s="64"/>
      <c r="W296" s="65"/>
    </row>
    <row r="297" ht="14.25" customHeight="1">
      <c r="H297" s="64"/>
      <c r="W297" s="65"/>
    </row>
    <row r="298" ht="14.25" customHeight="1">
      <c r="H298" s="64"/>
      <c r="W298" s="65"/>
    </row>
    <row r="299" ht="14.25" customHeight="1">
      <c r="H299" s="64"/>
      <c r="W299" s="65"/>
    </row>
    <row r="300" ht="14.25" customHeight="1">
      <c r="H300" s="64"/>
      <c r="W300" s="65"/>
    </row>
    <row r="301" ht="14.25" customHeight="1">
      <c r="H301" s="64"/>
      <c r="W301" s="65"/>
    </row>
    <row r="302" ht="14.25" customHeight="1">
      <c r="H302" s="64"/>
      <c r="W302" s="65"/>
    </row>
    <row r="303" ht="14.25" customHeight="1">
      <c r="H303" s="64"/>
      <c r="W303" s="65"/>
    </row>
    <row r="304" ht="14.25" customHeight="1">
      <c r="H304" s="64"/>
      <c r="W304" s="65"/>
    </row>
    <row r="305" ht="14.25" customHeight="1">
      <c r="H305" s="64"/>
      <c r="W305" s="65"/>
    </row>
    <row r="306" ht="14.25" customHeight="1">
      <c r="H306" s="64"/>
      <c r="W306" s="65"/>
    </row>
    <row r="307" ht="14.25" customHeight="1">
      <c r="H307" s="64"/>
      <c r="W307" s="65"/>
    </row>
    <row r="308" ht="14.25" customHeight="1">
      <c r="H308" s="64"/>
      <c r="W308" s="65"/>
    </row>
    <row r="309" ht="14.25" customHeight="1">
      <c r="H309" s="64"/>
      <c r="W309" s="65"/>
    </row>
    <row r="310" ht="14.25" customHeight="1">
      <c r="H310" s="64"/>
      <c r="W310" s="65"/>
    </row>
    <row r="311" ht="14.25" customHeight="1">
      <c r="H311" s="64"/>
      <c r="W311" s="65"/>
    </row>
    <row r="312" ht="14.25" customHeight="1">
      <c r="H312" s="64"/>
      <c r="W312" s="65"/>
    </row>
    <row r="313" ht="14.25" customHeight="1">
      <c r="H313" s="64"/>
      <c r="W313" s="65"/>
    </row>
    <row r="314" ht="14.25" customHeight="1">
      <c r="H314" s="64"/>
      <c r="W314" s="65"/>
    </row>
    <row r="315" ht="14.25" customHeight="1">
      <c r="H315" s="64"/>
      <c r="W315" s="65"/>
    </row>
    <row r="316" ht="14.25" customHeight="1">
      <c r="H316" s="64"/>
      <c r="W316" s="65"/>
    </row>
    <row r="317" ht="14.25" customHeight="1">
      <c r="H317" s="64"/>
      <c r="W317" s="65"/>
    </row>
    <row r="318" ht="14.25" customHeight="1">
      <c r="H318" s="64"/>
      <c r="W318" s="65"/>
    </row>
    <row r="319" ht="14.25" customHeight="1">
      <c r="H319" s="64"/>
      <c r="W319" s="65"/>
    </row>
    <row r="320" ht="14.25" customHeight="1">
      <c r="H320" s="64"/>
      <c r="W320" s="65"/>
    </row>
    <row r="321" ht="14.25" customHeight="1">
      <c r="H321" s="64"/>
      <c r="W321" s="65"/>
    </row>
    <row r="322" ht="14.25" customHeight="1">
      <c r="H322" s="64"/>
      <c r="W322" s="65"/>
    </row>
    <row r="323" ht="14.25" customHeight="1">
      <c r="H323" s="64"/>
      <c r="W323" s="65"/>
    </row>
    <row r="324" ht="14.25" customHeight="1">
      <c r="H324" s="64"/>
      <c r="W324" s="65"/>
    </row>
    <row r="325" ht="14.25" customHeight="1">
      <c r="H325" s="64"/>
      <c r="W325" s="65"/>
    </row>
    <row r="326" ht="14.25" customHeight="1">
      <c r="H326" s="64"/>
      <c r="W326" s="65"/>
    </row>
    <row r="327" ht="14.25" customHeight="1">
      <c r="H327" s="64"/>
      <c r="W327" s="65"/>
    </row>
    <row r="328" ht="14.25" customHeight="1">
      <c r="H328" s="64"/>
      <c r="W328" s="65"/>
    </row>
    <row r="329" ht="14.25" customHeight="1">
      <c r="H329" s="64"/>
      <c r="W329" s="65"/>
    </row>
    <row r="330" ht="14.25" customHeight="1">
      <c r="H330" s="64"/>
      <c r="W330" s="65"/>
    </row>
    <row r="331" ht="14.25" customHeight="1">
      <c r="H331" s="64"/>
      <c r="W331" s="65"/>
    </row>
    <row r="332" ht="14.25" customHeight="1">
      <c r="H332" s="64"/>
      <c r="W332" s="65"/>
    </row>
    <row r="333" ht="14.25" customHeight="1">
      <c r="H333" s="64"/>
      <c r="W333" s="65"/>
    </row>
    <row r="334" ht="14.25" customHeight="1">
      <c r="H334" s="64"/>
      <c r="W334" s="65"/>
    </row>
    <row r="335" ht="14.25" customHeight="1">
      <c r="H335" s="64"/>
      <c r="W335" s="65"/>
    </row>
    <row r="336" ht="14.25" customHeight="1">
      <c r="H336" s="64"/>
      <c r="W336" s="65"/>
    </row>
    <row r="337" ht="14.25" customHeight="1">
      <c r="H337" s="64"/>
      <c r="W337" s="65"/>
    </row>
    <row r="338" ht="14.25" customHeight="1">
      <c r="H338" s="64"/>
      <c r="W338" s="65"/>
    </row>
    <row r="339" ht="14.25" customHeight="1">
      <c r="H339" s="64"/>
      <c r="W339" s="65"/>
    </row>
    <row r="340" ht="14.25" customHeight="1">
      <c r="H340" s="64"/>
      <c r="W340" s="65"/>
    </row>
    <row r="341" ht="14.25" customHeight="1">
      <c r="H341" s="64"/>
      <c r="W341" s="65"/>
    </row>
    <row r="342" ht="14.25" customHeight="1">
      <c r="H342" s="64"/>
      <c r="W342" s="65"/>
    </row>
    <row r="343" ht="14.25" customHeight="1">
      <c r="H343" s="64"/>
      <c r="W343" s="65"/>
    </row>
    <row r="344" ht="14.25" customHeight="1">
      <c r="H344" s="64"/>
      <c r="W344" s="65"/>
    </row>
    <row r="345" ht="14.25" customHeight="1">
      <c r="H345" s="64"/>
      <c r="W345" s="65"/>
    </row>
    <row r="346" ht="14.25" customHeight="1">
      <c r="H346" s="64"/>
      <c r="W346" s="65"/>
    </row>
    <row r="347" ht="14.25" customHeight="1">
      <c r="H347" s="64"/>
      <c r="W347" s="65"/>
    </row>
    <row r="348" ht="14.25" customHeight="1">
      <c r="H348" s="64"/>
      <c r="W348" s="65"/>
    </row>
    <row r="349" ht="14.25" customHeight="1">
      <c r="H349" s="64"/>
      <c r="W349" s="65"/>
    </row>
    <row r="350" ht="14.25" customHeight="1">
      <c r="H350" s="64"/>
      <c r="W350" s="65"/>
    </row>
    <row r="351" ht="14.25" customHeight="1">
      <c r="H351" s="64"/>
      <c r="W351" s="65"/>
    </row>
    <row r="352" ht="14.25" customHeight="1">
      <c r="H352" s="64"/>
      <c r="W352" s="65"/>
    </row>
    <row r="353" ht="14.25" customHeight="1">
      <c r="H353" s="64"/>
      <c r="W353" s="65"/>
    </row>
    <row r="354" ht="14.25" customHeight="1">
      <c r="H354" s="64"/>
      <c r="W354" s="65"/>
    </row>
    <row r="355" ht="14.25" customHeight="1">
      <c r="H355" s="64"/>
      <c r="W355" s="65"/>
    </row>
    <row r="356" ht="14.25" customHeight="1">
      <c r="H356" s="64"/>
      <c r="W356" s="65"/>
    </row>
    <row r="357" ht="14.25" customHeight="1">
      <c r="H357" s="64"/>
      <c r="W357" s="65"/>
    </row>
    <row r="358" ht="14.25" customHeight="1">
      <c r="H358" s="64"/>
      <c r="W358" s="65"/>
    </row>
    <row r="359" ht="14.25" customHeight="1">
      <c r="H359" s="64"/>
      <c r="W359" s="65"/>
    </row>
    <row r="360" ht="14.25" customHeight="1">
      <c r="H360" s="64"/>
      <c r="W360" s="65"/>
    </row>
    <row r="361" ht="14.25" customHeight="1">
      <c r="H361" s="64"/>
      <c r="W361" s="65"/>
    </row>
    <row r="362" ht="14.25" customHeight="1">
      <c r="H362" s="64"/>
      <c r="W362" s="65"/>
    </row>
    <row r="363" ht="14.25" customHeight="1">
      <c r="H363" s="64"/>
      <c r="W363" s="65"/>
    </row>
    <row r="364" ht="14.25" customHeight="1">
      <c r="H364" s="64"/>
      <c r="W364" s="65"/>
    </row>
    <row r="365" ht="14.25" customHeight="1">
      <c r="H365" s="64"/>
      <c r="W365" s="65"/>
    </row>
    <row r="366" ht="14.25" customHeight="1">
      <c r="H366" s="64"/>
      <c r="W366" s="65"/>
    </row>
    <row r="367" ht="14.25" customHeight="1">
      <c r="H367" s="64"/>
      <c r="W367" s="65"/>
    </row>
    <row r="368" ht="14.25" customHeight="1">
      <c r="H368" s="64"/>
      <c r="W368" s="65"/>
    </row>
    <row r="369" ht="14.25" customHeight="1">
      <c r="H369" s="64"/>
      <c r="W369" s="65"/>
    </row>
    <row r="370" ht="14.25" customHeight="1">
      <c r="H370" s="64"/>
      <c r="W370" s="65"/>
    </row>
    <row r="371" ht="14.25" customHeight="1">
      <c r="H371" s="64"/>
      <c r="W371" s="65"/>
    </row>
    <row r="372" ht="14.25" customHeight="1">
      <c r="H372" s="64"/>
      <c r="W372" s="65"/>
    </row>
    <row r="373" ht="14.25" customHeight="1">
      <c r="H373" s="64"/>
      <c r="W373" s="65"/>
    </row>
    <row r="374" ht="14.25" customHeight="1">
      <c r="H374" s="64"/>
      <c r="W374" s="65"/>
    </row>
    <row r="375" ht="14.25" customHeight="1">
      <c r="H375" s="64"/>
      <c r="W375" s="65"/>
    </row>
    <row r="376" ht="14.25" customHeight="1">
      <c r="H376" s="64"/>
      <c r="W376" s="65"/>
    </row>
    <row r="377" ht="14.25" customHeight="1">
      <c r="H377" s="64"/>
      <c r="W377" s="65"/>
    </row>
    <row r="378" ht="14.25" customHeight="1">
      <c r="H378" s="64"/>
      <c r="W378" s="65"/>
    </row>
    <row r="379" ht="14.25" customHeight="1">
      <c r="H379" s="64"/>
      <c r="W379" s="65"/>
    </row>
    <row r="380" ht="14.25" customHeight="1">
      <c r="H380" s="64"/>
      <c r="W380" s="65"/>
    </row>
    <row r="381" ht="14.25" customHeight="1">
      <c r="H381" s="64"/>
      <c r="W381" s="65"/>
    </row>
    <row r="382" ht="14.25" customHeight="1">
      <c r="H382" s="64"/>
      <c r="W382" s="65"/>
    </row>
    <row r="383" ht="14.25" customHeight="1">
      <c r="H383" s="64"/>
      <c r="W383" s="65"/>
    </row>
    <row r="384" ht="14.25" customHeight="1">
      <c r="H384" s="64"/>
      <c r="W384" s="65"/>
    </row>
    <row r="385" ht="14.25" customHeight="1">
      <c r="H385" s="64"/>
      <c r="W385" s="65"/>
    </row>
    <row r="386" ht="14.25" customHeight="1">
      <c r="H386" s="64"/>
      <c r="W386" s="65"/>
    </row>
    <row r="387" ht="14.25" customHeight="1">
      <c r="H387" s="64"/>
      <c r="W387" s="65"/>
    </row>
    <row r="388" ht="14.25" customHeight="1">
      <c r="H388" s="64"/>
      <c r="W388" s="65"/>
    </row>
    <row r="389" ht="14.25" customHeight="1">
      <c r="H389" s="64"/>
      <c r="W389" s="65"/>
    </row>
    <row r="390" ht="14.25" customHeight="1">
      <c r="H390" s="64"/>
      <c r="W390" s="65"/>
    </row>
    <row r="391" ht="14.25" customHeight="1">
      <c r="H391" s="64"/>
      <c r="W391" s="65"/>
    </row>
    <row r="392" ht="14.25" customHeight="1">
      <c r="H392" s="64"/>
      <c r="W392" s="65"/>
    </row>
    <row r="393" ht="14.25" customHeight="1">
      <c r="H393" s="64"/>
      <c r="W393" s="65"/>
    </row>
    <row r="394" ht="14.25" customHeight="1">
      <c r="H394" s="64"/>
      <c r="W394" s="65"/>
    </row>
    <row r="395" ht="14.25" customHeight="1">
      <c r="H395" s="64"/>
      <c r="W395" s="65"/>
    </row>
    <row r="396" ht="14.25" customHeight="1">
      <c r="H396" s="64"/>
      <c r="W396" s="65"/>
    </row>
    <row r="397" ht="14.25" customHeight="1">
      <c r="H397" s="64"/>
      <c r="W397" s="65"/>
    </row>
    <row r="398" ht="14.25" customHeight="1">
      <c r="H398" s="64"/>
      <c r="W398" s="65"/>
    </row>
    <row r="399" ht="14.25" customHeight="1">
      <c r="H399" s="64"/>
      <c r="W399" s="65"/>
    </row>
    <row r="400" ht="14.25" customHeight="1">
      <c r="H400" s="64"/>
      <c r="W400" s="65"/>
    </row>
    <row r="401" ht="14.25" customHeight="1">
      <c r="H401" s="64"/>
      <c r="W401" s="65"/>
    </row>
    <row r="402" ht="14.25" customHeight="1">
      <c r="H402" s="64"/>
      <c r="W402" s="65"/>
    </row>
    <row r="403" ht="14.25" customHeight="1">
      <c r="H403" s="64"/>
      <c r="W403" s="65"/>
    </row>
    <row r="404" ht="14.25" customHeight="1">
      <c r="H404" s="64"/>
      <c r="W404" s="65"/>
    </row>
    <row r="405" ht="14.25" customHeight="1">
      <c r="H405" s="64"/>
      <c r="W405" s="65"/>
    </row>
    <row r="406" ht="14.25" customHeight="1">
      <c r="H406" s="64"/>
      <c r="W406" s="65"/>
    </row>
    <row r="407" ht="14.25" customHeight="1">
      <c r="H407" s="64"/>
      <c r="W407" s="65"/>
    </row>
    <row r="408" ht="14.25" customHeight="1">
      <c r="H408" s="64"/>
      <c r="W408" s="65"/>
    </row>
    <row r="409" ht="14.25" customHeight="1">
      <c r="H409" s="64"/>
      <c r="W409" s="65"/>
    </row>
    <row r="410" ht="14.25" customHeight="1">
      <c r="H410" s="64"/>
      <c r="W410" s="65"/>
    </row>
    <row r="411" ht="14.25" customHeight="1">
      <c r="H411" s="64"/>
      <c r="W411" s="65"/>
    </row>
    <row r="412" ht="14.25" customHeight="1">
      <c r="H412" s="64"/>
      <c r="W412" s="65"/>
    </row>
    <row r="413" ht="14.25" customHeight="1">
      <c r="H413" s="64"/>
      <c r="W413" s="65"/>
    </row>
    <row r="414" ht="14.25" customHeight="1">
      <c r="H414" s="64"/>
      <c r="W414" s="65"/>
    </row>
    <row r="415" ht="14.25" customHeight="1">
      <c r="H415" s="64"/>
      <c r="W415" s="65"/>
    </row>
    <row r="416" ht="14.25" customHeight="1">
      <c r="H416" s="64"/>
      <c r="W416" s="65"/>
    </row>
    <row r="417" ht="14.25" customHeight="1">
      <c r="H417" s="64"/>
      <c r="W417" s="65"/>
    </row>
    <row r="418" ht="14.25" customHeight="1">
      <c r="H418" s="64"/>
      <c r="W418" s="65"/>
    </row>
    <row r="419" ht="14.25" customHeight="1">
      <c r="H419" s="64"/>
      <c r="W419" s="65"/>
    </row>
    <row r="420" ht="14.25" customHeight="1">
      <c r="H420" s="64"/>
      <c r="W420" s="65"/>
    </row>
    <row r="421" ht="14.25" customHeight="1">
      <c r="H421" s="64"/>
      <c r="W421" s="65"/>
    </row>
    <row r="422" ht="14.25" customHeight="1">
      <c r="H422" s="64"/>
      <c r="W422" s="65"/>
    </row>
    <row r="423" ht="14.25" customHeight="1">
      <c r="H423" s="64"/>
      <c r="W423" s="65"/>
    </row>
    <row r="424" ht="14.25" customHeight="1">
      <c r="H424" s="64"/>
      <c r="W424" s="65"/>
    </row>
    <row r="425" ht="14.25" customHeight="1">
      <c r="H425" s="64"/>
      <c r="W425" s="65"/>
    </row>
    <row r="426" ht="14.25" customHeight="1">
      <c r="H426" s="64"/>
      <c r="W426" s="65"/>
    </row>
    <row r="427" ht="14.25" customHeight="1">
      <c r="H427" s="64"/>
      <c r="W427" s="65"/>
    </row>
    <row r="428" ht="14.25" customHeight="1">
      <c r="H428" s="64"/>
      <c r="W428" s="65"/>
    </row>
    <row r="429" ht="14.25" customHeight="1">
      <c r="H429" s="64"/>
      <c r="W429" s="65"/>
    </row>
    <row r="430" ht="14.25" customHeight="1">
      <c r="H430" s="64"/>
      <c r="W430" s="65"/>
    </row>
    <row r="431" ht="14.25" customHeight="1">
      <c r="H431" s="64"/>
      <c r="W431" s="65"/>
    </row>
    <row r="432" ht="14.25" customHeight="1">
      <c r="H432" s="64"/>
      <c r="W432" s="65"/>
    </row>
    <row r="433" ht="14.25" customHeight="1">
      <c r="H433" s="64"/>
      <c r="W433" s="65"/>
    </row>
    <row r="434" ht="14.25" customHeight="1">
      <c r="H434" s="64"/>
      <c r="W434" s="65"/>
    </row>
    <row r="435" ht="14.25" customHeight="1">
      <c r="H435" s="64"/>
      <c r="W435" s="65"/>
    </row>
    <row r="436" ht="14.25" customHeight="1">
      <c r="H436" s="64"/>
      <c r="W436" s="65"/>
    </row>
    <row r="437" ht="14.25" customHeight="1">
      <c r="H437" s="64"/>
      <c r="W437" s="65"/>
    </row>
    <row r="438" ht="14.25" customHeight="1">
      <c r="H438" s="64"/>
      <c r="W438" s="65"/>
    </row>
    <row r="439" ht="14.25" customHeight="1">
      <c r="H439" s="64"/>
      <c r="W439" s="65"/>
    </row>
    <row r="440" ht="14.25" customHeight="1">
      <c r="H440" s="64"/>
      <c r="W440" s="65"/>
    </row>
    <row r="441" ht="14.25" customHeight="1">
      <c r="H441" s="64"/>
      <c r="W441" s="65"/>
    </row>
    <row r="442" ht="14.25" customHeight="1">
      <c r="H442" s="64"/>
      <c r="W442" s="65"/>
    </row>
    <row r="443" ht="14.25" customHeight="1">
      <c r="H443" s="64"/>
      <c r="W443" s="65"/>
    </row>
    <row r="444" ht="14.25" customHeight="1">
      <c r="H444" s="64"/>
      <c r="W444" s="65"/>
    </row>
    <row r="445" ht="14.25" customHeight="1">
      <c r="H445" s="64"/>
      <c r="W445" s="65"/>
    </row>
    <row r="446" ht="14.25" customHeight="1">
      <c r="H446" s="64"/>
      <c r="W446" s="65"/>
    </row>
    <row r="447" ht="14.25" customHeight="1">
      <c r="H447" s="64"/>
      <c r="W447" s="65"/>
    </row>
    <row r="448" ht="14.25" customHeight="1">
      <c r="H448" s="64"/>
      <c r="W448" s="65"/>
    </row>
    <row r="449" ht="14.25" customHeight="1">
      <c r="H449" s="64"/>
      <c r="W449" s="65"/>
    </row>
    <row r="450" ht="14.25" customHeight="1">
      <c r="H450" s="64"/>
      <c r="W450" s="65"/>
    </row>
    <row r="451" ht="14.25" customHeight="1">
      <c r="H451" s="64"/>
      <c r="W451" s="65"/>
    </row>
    <row r="452" ht="14.25" customHeight="1">
      <c r="H452" s="64"/>
      <c r="W452" s="65"/>
    </row>
    <row r="453" ht="14.25" customHeight="1">
      <c r="H453" s="64"/>
      <c r="W453" s="65"/>
    </row>
    <row r="454" ht="14.25" customHeight="1">
      <c r="H454" s="64"/>
      <c r="W454" s="65"/>
    </row>
    <row r="455" ht="14.25" customHeight="1">
      <c r="H455" s="64"/>
      <c r="W455" s="65"/>
    </row>
    <row r="456" ht="14.25" customHeight="1">
      <c r="H456" s="64"/>
      <c r="W456" s="65"/>
    </row>
    <row r="457" ht="14.25" customHeight="1">
      <c r="H457" s="64"/>
      <c r="W457" s="65"/>
    </row>
    <row r="458" ht="14.25" customHeight="1">
      <c r="H458" s="64"/>
      <c r="W458" s="65"/>
    </row>
    <row r="459" ht="14.25" customHeight="1">
      <c r="H459" s="64"/>
      <c r="W459" s="65"/>
    </row>
    <row r="460" ht="14.25" customHeight="1">
      <c r="H460" s="64"/>
      <c r="W460" s="65"/>
    </row>
    <row r="461" ht="14.25" customHeight="1">
      <c r="H461" s="64"/>
      <c r="W461" s="65"/>
    </row>
    <row r="462" ht="14.25" customHeight="1">
      <c r="H462" s="64"/>
      <c r="W462" s="65"/>
    </row>
    <row r="463" ht="14.25" customHeight="1">
      <c r="H463" s="64"/>
      <c r="W463" s="65"/>
    </row>
    <row r="464" ht="14.25" customHeight="1">
      <c r="H464" s="64"/>
      <c r="W464" s="65"/>
    </row>
    <row r="465" ht="14.25" customHeight="1">
      <c r="H465" s="64"/>
      <c r="W465" s="65"/>
    </row>
    <row r="466" ht="14.25" customHeight="1">
      <c r="H466" s="64"/>
      <c r="W466" s="65"/>
    </row>
    <row r="467" ht="14.25" customHeight="1">
      <c r="H467" s="64"/>
      <c r="W467" s="65"/>
    </row>
    <row r="468" ht="14.25" customHeight="1">
      <c r="H468" s="64"/>
      <c r="W468" s="65"/>
    </row>
    <row r="469" ht="14.25" customHeight="1">
      <c r="H469" s="64"/>
      <c r="W469" s="65"/>
    </row>
    <row r="470" ht="14.25" customHeight="1">
      <c r="H470" s="64"/>
      <c r="W470" s="65"/>
    </row>
    <row r="471" ht="14.25" customHeight="1">
      <c r="H471" s="64"/>
      <c r="W471" s="65"/>
    </row>
    <row r="472" ht="14.25" customHeight="1">
      <c r="H472" s="64"/>
      <c r="W472" s="65"/>
    </row>
    <row r="473" ht="14.25" customHeight="1">
      <c r="H473" s="64"/>
      <c r="W473" s="65"/>
    </row>
    <row r="474" ht="14.25" customHeight="1">
      <c r="H474" s="64"/>
      <c r="W474" s="65"/>
    </row>
    <row r="475" ht="14.25" customHeight="1">
      <c r="H475" s="64"/>
      <c r="W475" s="65"/>
    </row>
    <row r="476" ht="14.25" customHeight="1">
      <c r="H476" s="64"/>
      <c r="W476" s="65"/>
    </row>
    <row r="477" ht="14.25" customHeight="1">
      <c r="H477" s="64"/>
      <c r="W477" s="65"/>
    </row>
    <row r="478" ht="14.25" customHeight="1">
      <c r="H478" s="64"/>
      <c r="W478" s="65"/>
    </row>
    <row r="479" ht="14.25" customHeight="1">
      <c r="H479" s="64"/>
      <c r="W479" s="65"/>
    </row>
    <row r="480" ht="14.25" customHeight="1">
      <c r="H480" s="64"/>
      <c r="W480" s="65"/>
    </row>
    <row r="481" ht="14.25" customHeight="1">
      <c r="H481" s="64"/>
      <c r="W481" s="65"/>
    </row>
    <row r="482" ht="14.25" customHeight="1">
      <c r="H482" s="64"/>
      <c r="W482" s="65"/>
    </row>
    <row r="483" ht="14.25" customHeight="1">
      <c r="H483" s="64"/>
      <c r="W483" s="65"/>
    </row>
    <row r="484" ht="14.25" customHeight="1">
      <c r="H484" s="64"/>
      <c r="W484" s="65"/>
    </row>
    <row r="485" ht="14.25" customHeight="1">
      <c r="H485" s="64"/>
      <c r="W485" s="65"/>
    </row>
    <row r="486" ht="14.25" customHeight="1">
      <c r="H486" s="64"/>
      <c r="W486" s="65"/>
    </row>
    <row r="487" ht="14.25" customHeight="1">
      <c r="H487" s="64"/>
      <c r="W487" s="65"/>
    </row>
    <row r="488" ht="14.25" customHeight="1">
      <c r="H488" s="64"/>
      <c r="W488" s="65"/>
    </row>
    <row r="489" ht="14.25" customHeight="1">
      <c r="H489" s="64"/>
      <c r="W489" s="65"/>
    </row>
    <row r="490" ht="14.25" customHeight="1">
      <c r="H490" s="64"/>
      <c r="W490" s="65"/>
    </row>
    <row r="491" ht="14.25" customHeight="1">
      <c r="H491" s="64"/>
      <c r="W491" s="65"/>
    </row>
    <row r="492" ht="14.25" customHeight="1">
      <c r="H492" s="64"/>
      <c r="W492" s="65"/>
    </row>
    <row r="493" ht="14.25" customHeight="1">
      <c r="H493" s="64"/>
      <c r="W493" s="65"/>
    </row>
    <row r="494" ht="14.25" customHeight="1">
      <c r="H494" s="64"/>
      <c r="W494" s="65"/>
    </row>
    <row r="495" ht="14.25" customHeight="1">
      <c r="H495" s="64"/>
      <c r="W495" s="65"/>
    </row>
    <row r="496" ht="14.25" customHeight="1">
      <c r="H496" s="64"/>
      <c r="W496" s="65"/>
    </row>
    <row r="497" ht="14.25" customHeight="1">
      <c r="H497" s="64"/>
      <c r="W497" s="65"/>
    </row>
    <row r="498" ht="14.25" customHeight="1">
      <c r="H498" s="64"/>
      <c r="W498" s="65"/>
    </row>
    <row r="499" ht="14.25" customHeight="1">
      <c r="H499" s="64"/>
      <c r="W499" s="65"/>
    </row>
    <row r="500" ht="14.25" customHeight="1">
      <c r="H500" s="64"/>
      <c r="W500" s="65"/>
    </row>
    <row r="501" ht="14.25" customHeight="1">
      <c r="H501" s="64"/>
      <c r="W501" s="65"/>
    </row>
    <row r="502" ht="14.25" customHeight="1">
      <c r="H502" s="64"/>
      <c r="W502" s="65"/>
    </row>
    <row r="503" ht="14.25" customHeight="1">
      <c r="H503" s="64"/>
      <c r="W503" s="65"/>
    </row>
    <row r="504" ht="14.25" customHeight="1">
      <c r="H504" s="64"/>
      <c r="W504" s="65"/>
    </row>
    <row r="505" ht="14.25" customHeight="1">
      <c r="H505" s="64"/>
      <c r="W505" s="65"/>
    </row>
    <row r="506" ht="14.25" customHeight="1">
      <c r="H506" s="64"/>
      <c r="W506" s="65"/>
    </row>
    <row r="507" ht="14.25" customHeight="1">
      <c r="H507" s="64"/>
      <c r="W507" s="65"/>
    </row>
    <row r="508" ht="14.25" customHeight="1">
      <c r="H508" s="64"/>
      <c r="W508" s="65"/>
    </row>
    <row r="509" ht="14.25" customHeight="1">
      <c r="H509" s="64"/>
      <c r="W509" s="65"/>
    </row>
    <row r="510" ht="14.25" customHeight="1">
      <c r="H510" s="64"/>
      <c r="W510" s="65"/>
    </row>
    <row r="511" ht="14.25" customHeight="1">
      <c r="H511" s="64"/>
      <c r="W511" s="65"/>
    </row>
    <row r="512" ht="14.25" customHeight="1">
      <c r="H512" s="64"/>
      <c r="W512" s="65"/>
    </row>
    <row r="513" ht="14.25" customHeight="1">
      <c r="H513" s="64"/>
      <c r="W513" s="65"/>
    </row>
    <row r="514" ht="14.25" customHeight="1">
      <c r="H514" s="64"/>
      <c r="W514" s="65"/>
    </row>
    <row r="515" ht="14.25" customHeight="1">
      <c r="H515" s="64"/>
      <c r="W515" s="65"/>
    </row>
    <row r="516" ht="14.25" customHeight="1">
      <c r="H516" s="64"/>
      <c r="W516" s="65"/>
    </row>
    <row r="517" ht="14.25" customHeight="1">
      <c r="H517" s="64"/>
      <c r="W517" s="65"/>
    </row>
    <row r="518" ht="14.25" customHeight="1">
      <c r="H518" s="64"/>
      <c r="W518" s="65"/>
    </row>
    <row r="519" ht="14.25" customHeight="1">
      <c r="H519" s="64"/>
      <c r="W519" s="65"/>
    </row>
    <row r="520" ht="14.25" customHeight="1">
      <c r="H520" s="64"/>
      <c r="W520" s="65"/>
    </row>
    <row r="521" ht="14.25" customHeight="1">
      <c r="H521" s="64"/>
      <c r="W521" s="65"/>
    </row>
    <row r="522" ht="14.25" customHeight="1">
      <c r="H522" s="64"/>
      <c r="W522" s="65"/>
    </row>
    <row r="523" ht="14.25" customHeight="1">
      <c r="H523" s="64"/>
      <c r="W523" s="65"/>
    </row>
    <row r="524" ht="14.25" customHeight="1">
      <c r="H524" s="64"/>
      <c r="W524" s="65"/>
    </row>
    <row r="525" ht="14.25" customHeight="1">
      <c r="H525" s="64"/>
      <c r="W525" s="65"/>
    </row>
    <row r="526" ht="14.25" customHeight="1">
      <c r="H526" s="64"/>
      <c r="W526" s="65"/>
    </row>
    <row r="527" ht="14.25" customHeight="1">
      <c r="H527" s="64"/>
      <c r="W527" s="65"/>
    </row>
    <row r="528" ht="14.25" customHeight="1">
      <c r="H528" s="64"/>
      <c r="W528" s="65"/>
    </row>
    <row r="529" ht="14.25" customHeight="1">
      <c r="H529" s="64"/>
      <c r="W529" s="65"/>
    </row>
    <row r="530" ht="14.25" customHeight="1">
      <c r="H530" s="64"/>
      <c r="W530" s="65"/>
    </row>
    <row r="531" ht="14.25" customHeight="1">
      <c r="H531" s="64"/>
      <c r="W531" s="65"/>
    </row>
    <row r="532" ht="14.25" customHeight="1">
      <c r="H532" s="64"/>
      <c r="W532" s="65"/>
    </row>
    <row r="533" ht="14.25" customHeight="1">
      <c r="H533" s="64"/>
      <c r="W533" s="65"/>
    </row>
    <row r="534" ht="14.25" customHeight="1">
      <c r="H534" s="64"/>
      <c r="W534" s="65"/>
    </row>
    <row r="535" ht="14.25" customHeight="1">
      <c r="H535" s="64"/>
      <c r="W535" s="65"/>
    </row>
    <row r="536" ht="14.25" customHeight="1">
      <c r="H536" s="64"/>
      <c r="W536" s="65"/>
    </row>
    <row r="537" ht="14.25" customHeight="1">
      <c r="H537" s="64"/>
      <c r="W537" s="65"/>
    </row>
    <row r="538" ht="14.25" customHeight="1">
      <c r="H538" s="64"/>
      <c r="W538" s="65"/>
    </row>
    <row r="539" ht="14.25" customHeight="1">
      <c r="H539" s="64"/>
      <c r="W539" s="65"/>
    </row>
    <row r="540" ht="14.25" customHeight="1">
      <c r="H540" s="64"/>
      <c r="W540" s="65"/>
    </row>
    <row r="541" ht="14.25" customHeight="1">
      <c r="H541" s="64"/>
      <c r="W541" s="65"/>
    </row>
    <row r="542" ht="14.25" customHeight="1">
      <c r="H542" s="64"/>
      <c r="W542" s="65"/>
    </row>
    <row r="543" ht="14.25" customHeight="1">
      <c r="H543" s="64"/>
      <c r="W543" s="65"/>
    </row>
    <row r="544" ht="14.25" customHeight="1">
      <c r="H544" s="64"/>
      <c r="W544" s="65"/>
    </row>
    <row r="545" ht="14.25" customHeight="1">
      <c r="H545" s="64"/>
      <c r="W545" s="65"/>
    </row>
    <row r="546" ht="14.25" customHeight="1">
      <c r="H546" s="64"/>
      <c r="W546" s="65"/>
    </row>
    <row r="547" ht="14.25" customHeight="1">
      <c r="H547" s="64"/>
      <c r="W547" s="65"/>
    </row>
    <row r="548" ht="14.25" customHeight="1">
      <c r="H548" s="64"/>
      <c r="W548" s="65"/>
    </row>
    <row r="549" ht="14.25" customHeight="1">
      <c r="H549" s="64"/>
      <c r="W549" s="65"/>
    </row>
    <row r="550" ht="14.25" customHeight="1">
      <c r="H550" s="64"/>
      <c r="W550" s="65"/>
    </row>
    <row r="551" ht="14.25" customHeight="1">
      <c r="H551" s="64"/>
      <c r="W551" s="65"/>
    </row>
    <row r="552" ht="14.25" customHeight="1">
      <c r="H552" s="64"/>
      <c r="W552" s="65"/>
    </row>
    <row r="553" ht="14.25" customHeight="1">
      <c r="H553" s="64"/>
      <c r="W553" s="65"/>
    </row>
    <row r="554" ht="14.25" customHeight="1">
      <c r="H554" s="64"/>
      <c r="W554" s="65"/>
    </row>
    <row r="555" ht="14.25" customHeight="1">
      <c r="H555" s="64"/>
      <c r="W555" s="65"/>
    </row>
    <row r="556" ht="14.25" customHeight="1">
      <c r="H556" s="64"/>
      <c r="W556" s="65"/>
    </row>
    <row r="557" ht="14.25" customHeight="1">
      <c r="H557" s="64"/>
      <c r="W557" s="65"/>
    </row>
    <row r="558" ht="14.25" customHeight="1">
      <c r="H558" s="64"/>
      <c r="W558" s="65"/>
    </row>
    <row r="559" ht="14.25" customHeight="1">
      <c r="H559" s="64"/>
      <c r="W559" s="65"/>
    </row>
    <row r="560" ht="14.25" customHeight="1">
      <c r="H560" s="64"/>
      <c r="W560" s="65"/>
    </row>
    <row r="561" ht="14.25" customHeight="1">
      <c r="H561" s="64"/>
      <c r="W561" s="65"/>
    </row>
    <row r="562" ht="14.25" customHeight="1">
      <c r="H562" s="64"/>
      <c r="W562" s="65"/>
    </row>
    <row r="563" ht="14.25" customHeight="1">
      <c r="H563" s="64"/>
      <c r="W563" s="65"/>
    </row>
    <row r="564" ht="14.25" customHeight="1">
      <c r="H564" s="64"/>
      <c r="W564" s="65"/>
    </row>
    <row r="565" ht="14.25" customHeight="1">
      <c r="H565" s="64"/>
      <c r="W565" s="65"/>
    </row>
    <row r="566" ht="14.25" customHeight="1">
      <c r="H566" s="64"/>
      <c r="W566" s="65"/>
    </row>
    <row r="567" ht="14.25" customHeight="1">
      <c r="H567" s="64"/>
      <c r="W567" s="65"/>
    </row>
    <row r="568" ht="14.25" customHeight="1">
      <c r="H568" s="64"/>
      <c r="W568" s="65"/>
    </row>
    <row r="569" ht="14.25" customHeight="1">
      <c r="H569" s="64"/>
      <c r="W569" s="65"/>
    </row>
    <row r="570" ht="14.25" customHeight="1">
      <c r="H570" s="64"/>
      <c r="W570" s="65"/>
    </row>
    <row r="571" ht="14.25" customHeight="1">
      <c r="H571" s="64"/>
      <c r="W571" s="65"/>
    </row>
    <row r="572" ht="14.25" customHeight="1">
      <c r="H572" s="64"/>
      <c r="W572" s="65"/>
    </row>
    <row r="573" ht="14.25" customHeight="1">
      <c r="H573" s="64"/>
      <c r="W573" s="65"/>
    </row>
    <row r="574" ht="14.25" customHeight="1">
      <c r="H574" s="64"/>
      <c r="W574" s="65"/>
    </row>
    <row r="575" ht="14.25" customHeight="1">
      <c r="H575" s="64"/>
      <c r="W575" s="65"/>
    </row>
    <row r="576" ht="14.25" customHeight="1">
      <c r="H576" s="64"/>
      <c r="W576" s="65"/>
    </row>
    <row r="577" ht="14.25" customHeight="1">
      <c r="H577" s="64"/>
      <c r="W577" s="65"/>
    </row>
    <row r="578" ht="14.25" customHeight="1">
      <c r="H578" s="64"/>
      <c r="W578" s="65"/>
    </row>
    <row r="579" ht="14.25" customHeight="1">
      <c r="H579" s="64"/>
      <c r="W579" s="65"/>
    </row>
    <row r="580" ht="14.25" customHeight="1">
      <c r="H580" s="64"/>
      <c r="W580" s="65"/>
    </row>
    <row r="581" ht="14.25" customHeight="1">
      <c r="H581" s="64"/>
      <c r="W581" s="65"/>
    </row>
    <row r="582" ht="14.25" customHeight="1">
      <c r="H582" s="64"/>
      <c r="W582" s="65"/>
    </row>
    <row r="583" ht="14.25" customHeight="1">
      <c r="H583" s="64"/>
      <c r="W583" s="65"/>
    </row>
    <row r="584" ht="14.25" customHeight="1">
      <c r="H584" s="64"/>
      <c r="W584" s="65"/>
    </row>
    <row r="585" ht="14.25" customHeight="1">
      <c r="H585" s="64"/>
      <c r="W585" s="65"/>
    </row>
    <row r="586" ht="14.25" customHeight="1">
      <c r="H586" s="64"/>
      <c r="W586" s="65"/>
    </row>
    <row r="587" ht="14.25" customHeight="1">
      <c r="H587" s="64"/>
      <c r="W587" s="65"/>
    </row>
    <row r="588" ht="14.25" customHeight="1">
      <c r="H588" s="64"/>
      <c r="W588" s="65"/>
    </row>
    <row r="589" ht="14.25" customHeight="1">
      <c r="H589" s="64"/>
      <c r="W589" s="65"/>
    </row>
    <row r="590" ht="14.25" customHeight="1">
      <c r="H590" s="64"/>
      <c r="W590" s="65"/>
    </row>
    <row r="591" ht="14.25" customHeight="1">
      <c r="H591" s="64"/>
      <c r="W591" s="65"/>
    </row>
    <row r="592" ht="14.25" customHeight="1">
      <c r="H592" s="64"/>
      <c r="W592" s="65"/>
    </row>
    <row r="593" ht="14.25" customHeight="1">
      <c r="H593" s="64"/>
      <c r="W593" s="65"/>
    </row>
    <row r="594" ht="14.25" customHeight="1">
      <c r="H594" s="64"/>
      <c r="W594" s="65"/>
    </row>
    <row r="595" ht="14.25" customHeight="1">
      <c r="H595" s="64"/>
      <c r="W595" s="65"/>
    </row>
    <row r="596" ht="14.25" customHeight="1">
      <c r="H596" s="64"/>
      <c r="W596" s="65"/>
    </row>
    <row r="597" ht="14.25" customHeight="1">
      <c r="H597" s="64"/>
      <c r="W597" s="65"/>
    </row>
    <row r="598" ht="14.25" customHeight="1">
      <c r="H598" s="64"/>
      <c r="W598" s="65"/>
    </row>
    <row r="599" ht="14.25" customHeight="1">
      <c r="H599" s="64"/>
      <c r="W599" s="65"/>
    </row>
    <row r="600" ht="14.25" customHeight="1">
      <c r="H600" s="64"/>
      <c r="W600" s="65"/>
    </row>
    <row r="601" ht="14.25" customHeight="1">
      <c r="H601" s="64"/>
      <c r="W601" s="65"/>
    </row>
    <row r="602" ht="14.25" customHeight="1">
      <c r="H602" s="64"/>
      <c r="W602" s="65"/>
    </row>
    <row r="603" ht="14.25" customHeight="1">
      <c r="H603" s="64"/>
      <c r="W603" s="65"/>
    </row>
    <row r="604" ht="14.25" customHeight="1">
      <c r="H604" s="64"/>
      <c r="W604" s="65"/>
    </row>
    <row r="605" ht="14.25" customHeight="1">
      <c r="H605" s="64"/>
      <c r="W605" s="65"/>
    </row>
    <row r="606" ht="14.25" customHeight="1">
      <c r="H606" s="64"/>
      <c r="W606" s="65"/>
    </row>
    <row r="607" ht="14.25" customHeight="1">
      <c r="H607" s="64"/>
      <c r="W607" s="65"/>
    </row>
    <row r="608" ht="14.25" customHeight="1">
      <c r="H608" s="64"/>
      <c r="W608" s="65"/>
    </row>
    <row r="609" ht="14.25" customHeight="1">
      <c r="H609" s="64"/>
      <c r="W609" s="65"/>
    </row>
    <row r="610" ht="14.25" customHeight="1">
      <c r="H610" s="64"/>
      <c r="W610" s="65"/>
    </row>
    <row r="611" ht="14.25" customHeight="1">
      <c r="H611" s="64"/>
      <c r="W611" s="65"/>
    </row>
    <row r="612" ht="14.25" customHeight="1">
      <c r="H612" s="64"/>
      <c r="W612" s="65"/>
    </row>
    <row r="613" ht="14.25" customHeight="1">
      <c r="H613" s="64"/>
      <c r="W613" s="65"/>
    </row>
    <row r="614" ht="14.25" customHeight="1">
      <c r="H614" s="64"/>
      <c r="W614" s="65"/>
    </row>
    <row r="615" ht="14.25" customHeight="1">
      <c r="H615" s="64"/>
      <c r="W615" s="65"/>
    </row>
    <row r="616" ht="14.25" customHeight="1">
      <c r="H616" s="64"/>
      <c r="W616" s="65"/>
    </row>
    <row r="617" ht="14.25" customHeight="1">
      <c r="H617" s="64"/>
      <c r="W617" s="65"/>
    </row>
    <row r="618" ht="14.25" customHeight="1">
      <c r="H618" s="64"/>
      <c r="W618" s="65"/>
    </row>
    <row r="619" ht="14.25" customHeight="1">
      <c r="H619" s="64"/>
      <c r="W619" s="65"/>
    </row>
    <row r="620" ht="14.25" customHeight="1">
      <c r="H620" s="64"/>
      <c r="W620" s="65"/>
    </row>
    <row r="621" ht="14.25" customHeight="1">
      <c r="H621" s="64"/>
      <c r="W621" s="65"/>
    </row>
    <row r="622" ht="14.25" customHeight="1">
      <c r="H622" s="64"/>
      <c r="W622" s="65"/>
    </row>
    <row r="623" ht="14.25" customHeight="1">
      <c r="H623" s="64"/>
      <c r="W623" s="65"/>
    </row>
    <row r="624" ht="14.25" customHeight="1">
      <c r="H624" s="64"/>
      <c r="W624" s="65"/>
    </row>
    <row r="625" ht="14.25" customHeight="1">
      <c r="H625" s="64"/>
      <c r="W625" s="65"/>
    </row>
    <row r="626" ht="14.25" customHeight="1">
      <c r="H626" s="64"/>
      <c r="W626" s="65"/>
    </row>
    <row r="627" ht="14.25" customHeight="1">
      <c r="H627" s="64"/>
      <c r="W627" s="65"/>
    </row>
    <row r="628" ht="14.25" customHeight="1">
      <c r="H628" s="64"/>
      <c r="W628" s="65"/>
    </row>
    <row r="629" ht="14.25" customHeight="1">
      <c r="H629" s="64"/>
      <c r="W629" s="65"/>
    </row>
    <row r="630" ht="14.25" customHeight="1">
      <c r="H630" s="64"/>
      <c r="W630" s="65"/>
    </row>
    <row r="631" ht="14.25" customHeight="1">
      <c r="H631" s="64"/>
      <c r="W631" s="65"/>
    </row>
    <row r="632" ht="14.25" customHeight="1">
      <c r="H632" s="64"/>
      <c r="W632" s="65"/>
    </row>
    <row r="633" ht="14.25" customHeight="1">
      <c r="H633" s="64"/>
      <c r="W633" s="65"/>
    </row>
    <row r="634" ht="14.25" customHeight="1">
      <c r="H634" s="64"/>
      <c r="W634" s="65"/>
    </row>
    <row r="635" ht="14.25" customHeight="1">
      <c r="H635" s="64"/>
      <c r="W635" s="65"/>
    </row>
    <row r="636" ht="14.25" customHeight="1">
      <c r="H636" s="64"/>
      <c r="W636" s="65"/>
    </row>
    <row r="637" ht="14.25" customHeight="1">
      <c r="H637" s="64"/>
      <c r="W637" s="65"/>
    </row>
    <row r="638" ht="14.25" customHeight="1">
      <c r="H638" s="64"/>
      <c r="W638" s="65"/>
    </row>
    <row r="639" ht="14.25" customHeight="1">
      <c r="H639" s="64"/>
      <c r="W639" s="65"/>
    </row>
    <row r="640" ht="14.25" customHeight="1">
      <c r="H640" s="64"/>
      <c r="W640" s="65"/>
    </row>
    <row r="641" ht="14.25" customHeight="1">
      <c r="H641" s="64"/>
      <c r="W641" s="65"/>
    </row>
    <row r="642" ht="14.25" customHeight="1">
      <c r="H642" s="64"/>
      <c r="W642" s="65"/>
    </row>
    <row r="643" ht="14.25" customHeight="1">
      <c r="H643" s="64"/>
      <c r="W643" s="65"/>
    </row>
    <row r="644" ht="14.25" customHeight="1">
      <c r="H644" s="64"/>
      <c r="W644" s="65"/>
    </row>
    <row r="645" ht="14.25" customHeight="1">
      <c r="H645" s="64"/>
      <c r="W645" s="65"/>
    </row>
    <row r="646" ht="14.25" customHeight="1">
      <c r="H646" s="64"/>
      <c r="W646" s="65"/>
    </row>
    <row r="647" ht="14.25" customHeight="1">
      <c r="H647" s="64"/>
      <c r="W647" s="65"/>
    </row>
    <row r="648" ht="14.25" customHeight="1">
      <c r="H648" s="64"/>
      <c r="W648" s="65"/>
    </row>
    <row r="649" ht="14.25" customHeight="1">
      <c r="H649" s="64"/>
      <c r="W649" s="65"/>
    </row>
    <row r="650" ht="14.25" customHeight="1">
      <c r="H650" s="64"/>
      <c r="W650" s="65"/>
    </row>
    <row r="651" ht="14.25" customHeight="1">
      <c r="H651" s="64"/>
      <c r="W651" s="65"/>
    </row>
    <row r="652" ht="14.25" customHeight="1">
      <c r="H652" s="64"/>
      <c r="W652" s="65"/>
    </row>
    <row r="653" ht="14.25" customHeight="1">
      <c r="H653" s="64"/>
      <c r="W653" s="65"/>
    </row>
    <row r="654" ht="14.25" customHeight="1">
      <c r="H654" s="64"/>
      <c r="W654" s="65"/>
    </row>
    <row r="655" ht="14.25" customHeight="1">
      <c r="H655" s="64"/>
      <c r="W655" s="65"/>
    </row>
    <row r="656" ht="14.25" customHeight="1">
      <c r="H656" s="64"/>
      <c r="W656" s="65"/>
    </row>
    <row r="657" ht="14.25" customHeight="1">
      <c r="H657" s="64"/>
      <c r="W657" s="65"/>
    </row>
    <row r="658" ht="14.25" customHeight="1">
      <c r="H658" s="64"/>
      <c r="W658" s="65"/>
    </row>
    <row r="659" ht="14.25" customHeight="1">
      <c r="H659" s="64"/>
      <c r="W659" s="65"/>
    </row>
    <row r="660" ht="14.25" customHeight="1">
      <c r="H660" s="64"/>
      <c r="W660" s="65"/>
    </row>
    <row r="661" ht="14.25" customHeight="1">
      <c r="H661" s="64"/>
      <c r="W661" s="65"/>
    </row>
    <row r="662" ht="14.25" customHeight="1">
      <c r="H662" s="64"/>
      <c r="W662" s="65"/>
    </row>
    <row r="663" ht="14.25" customHeight="1">
      <c r="H663" s="64"/>
      <c r="W663" s="65"/>
    </row>
    <row r="664" ht="14.25" customHeight="1">
      <c r="H664" s="64"/>
      <c r="W664" s="65"/>
    </row>
    <row r="665" ht="14.25" customHeight="1">
      <c r="H665" s="64"/>
      <c r="W665" s="65"/>
    </row>
    <row r="666" ht="14.25" customHeight="1">
      <c r="H666" s="64"/>
      <c r="W666" s="65"/>
    </row>
    <row r="667" ht="14.25" customHeight="1">
      <c r="H667" s="64"/>
      <c r="W667" s="65"/>
    </row>
    <row r="668" ht="14.25" customHeight="1">
      <c r="H668" s="64"/>
      <c r="W668" s="65"/>
    </row>
    <row r="669" ht="14.25" customHeight="1">
      <c r="H669" s="64"/>
      <c r="W669" s="65"/>
    </row>
    <row r="670" ht="14.25" customHeight="1">
      <c r="H670" s="64"/>
      <c r="W670" s="65"/>
    </row>
    <row r="671" ht="14.25" customHeight="1">
      <c r="H671" s="64"/>
      <c r="W671" s="65"/>
    </row>
    <row r="672" ht="14.25" customHeight="1">
      <c r="H672" s="64"/>
      <c r="W672" s="65"/>
    </row>
    <row r="673" ht="14.25" customHeight="1">
      <c r="H673" s="64"/>
      <c r="W673" s="65"/>
    </row>
    <row r="674" ht="14.25" customHeight="1">
      <c r="H674" s="64"/>
      <c r="W674" s="65"/>
    </row>
    <row r="675" ht="14.25" customHeight="1">
      <c r="H675" s="64"/>
      <c r="W675" s="65"/>
    </row>
    <row r="676" ht="14.25" customHeight="1">
      <c r="H676" s="64"/>
      <c r="W676" s="65"/>
    </row>
    <row r="677" ht="14.25" customHeight="1">
      <c r="H677" s="64"/>
      <c r="W677" s="65"/>
    </row>
    <row r="678" ht="14.25" customHeight="1">
      <c r="H678" s="64"/>
      <c r="W678" s="65"/>
    </row>
    <row r="679" ht="14.25" customHeight="1">
      <c r="H679" s="64"/>
      <c r="W679" s="65"/>
    </row>
    <row r="680" ht="14.25" customHeight="1">
      <c r="H680" s="64"/>
      <c r="W680" s="65"/>
    </row>
    <row r="681" ht="14.25" customHeight="1">
      <c r="H681" s="64"/>
      <c r="W681" s="65"/>
    </row>
    <row r="682" ht="14.25" customHeight="1">
      <c r="H682" s="64"/>
      <c r="W682" s="65"/>
    </row>
    <row r="683" ht="14.25" customHeight="1">
      <c r="H683" s="64"/>
      <c r="W683" s="65"/>
    </row>
    <row r="684" ht="14.25" customHeight="1">
      <c r="H684" s="64"/>
      <c r="W684" s="65"/>
    </row>
    <row r="685" ht="14.25" customHeight="1">
      <c r="H685" s="64"/>
      <c r="W685" s="65"/>
    </row>
    <row r="686" ht="14.25" customHeight="1">
      <c r="H686" s="64"/>
      <c r="W686" s="65"/>
    </row>
    <row r="687" ht="14.25" customHeight="1">
      <c r="H687" s="64"/>
      <c r="W687" s="65"/>
    </row>
    <row r="688" ht="14.25" customHeight="1">
      <c r="H688" s="64"/>
      <c r="W688" s="65"/>
    </row>
    <row r="689" ht="14.25" customHeight="1">
      <c r="H689" s="64"/>
      <c r="W689" s="65"/>
    </row>
    <row r="690" ht="14.25" customHeight="1">
      <c r="H690" s="64"/>
      <c r="W690" s="65"/>
    </row>
    <row r="691" ht="14.25" customHeight="1">
      <c r="H691" s="64"/>
      <c r="W691" s="65"/>
    </row>
    <row r="692" ht="14.25" customHeight="1">
      <c r="H692" s="64"/>
      <c r="W692" s="65"/>
    </row>
    <row r="693" ht="14.25" customHeight="1">
      <c r="H693" s="64"/>
      <c r="W693" s="65"/>
    </row>
    <row r="694" ht="14.25" customHeight="1">
      <c r="H694" s="64"/>
      <c r="W694" s="65"/>
    </row>
    <row r="695" ht="14.25" customHeight="1">
      <c r="H695" s="64"/>
      <c r="W695" s="65"/>
    </row>
    <row r="696" ht="14.25" customHeight="1">
      <c r="H696" s="64"/>
      <c r="W696" s="65"/>
    </row>
    <row r="697" ht="14.25" customHeight="1">
      <c r="H697" s="64"/>
      <c r="W697" s="65"/>
    </row>
    <row r="698" ht="14.25" customHeight="1">
      <c r="H698" s="64"/>
      <c r="W698" s="65"/>
    </row>
    <row r="699" ht="14.25" customHeight="1">
      <c r="H699" s="64"/>
      <c r="W699" s="65"/>
    </row>
    <row r="700" ht="14.25" customHeight="1">
      <c r="H700" s="64"/>
      <c r="W700" s="65"/>
    </row>
    <row r="701" ht="14.25" customHeight="1">
      <c r="H701" s="64"/>
      <c r="W701" s="65"/>
    </row>
    <row r="702" ht="14.25" customHeight="1">
      <c r="H702" s="64"/>
      <c r="W702" s="65"/>
    </row>
    <row r="703" ht="14.25" customHeight="1">
      <c r="H703" s="64"/>
      <c r="W703" s="65"/>
    </row>
    <row r="704" ht="14.25" customHeight="1">
      <c r="H704" s="64"/>
      <c r="W704" s="65"/>
    </row>
    <row r="705" ht="14.25" customHeight="1">
      <c r="H705" s="64"/>
      <c r="W705" s="65"/>
    </row>
    <row r="706" ht="14.25" customHeight="1">
      <c r="H706" s="64"/>
      <c r="W706" s="65"/>
    </row>
    <row r="707" ht="14.25" customHeight="1">
      <c r="H707" s="64"/>
      <c r="W707" s="65"/>
    </row>
    <row r="708" ht="14.25" customHeight="1">
      <c r="H708" s="64"/>
      <c r="W708" s="65"/>
    </row>
    <row r="709" ht="14.25" customHeight="1">
      <c r="H709" s="64"/>
      <c r="W709" s="65"/>
    </row>
    <row r="710" ht="14.25" customHeight="1">
      <c r="H710" s="64"/>
      <c r="W710" s="65"/>
    </row>
    <row r="711" ht="14.25" customHeight="1">
      <c r="H711" s="64"/>
      <c r="W711" s="65"/>
    </row>
    <row r="712" ht="14.25" customHeight="1">
      <c r="H712" s="64"/>
      <c r="W712" s="65"/>
    </row>
    <row r="713" ht="14.25" customHeight="1">
      <c r="H713" s="64"/>
      <c r="W713" s="65"/>
    </row>
    <row r="714" ht="14.25" customHeight="1">
      <c r="H714" s="64"/>
      <c r="W714" s="65"/>
    </row>
    <row r="715" ht="14.25" customHeight="1">
      <c r="H715" s="64"/>
      <c r="W715" s="65"/>
    </row>
    <row r="716" ht="14.25" customHeight="1">
      <c r="H716" s="64"/>
      <c r="W716" s="65"/>
    </row>
    <row r="717" ht="14.25" customHeight="1">
      <c r="H717" s="64"/>
      <c r="W717" s="65"/>
    </row>
    <row r="718" ht="14.25" customHeight="1">
      <c r="H718" s="64"/>
      <c r="W718" s="65"/>
    </row>
    <row r="719" ht="14.25" customHeight="1">
      <c r="H719" s="64"/>
      <c r="W719" s="65"/>
    </row>
    <row r="720" ht="14.25" customHeight="1">
      <c r="H720" s="64"/>
      <c r="W720" s="65"/>
    </row>
    <row r="721" ht="14.25" customHeight="1">
      <c r="H721" s="64"/>
      <c r="W721" s="65"/>
    </row>
    <row r="722" ht="14.25" customHeight="1">
      <c r="H722" s="64"/>
      <c r="W722" s="65"/>
    </row>
    <row r="723" ht="14.25" customHeight="1">
      <c r="H723" s="64"/>
      <c r="W723" s="65"/>
    </row>
    <row r="724" ht="14.25" customHeight="1">
      <c r="H724" s="64"/>
      <c r="W724" s="65"/>
    </row>
    <row r="725" ht="14.25" customHeight="1">
      <c r="H725" s="64"/>
      <c r="W725" s="65"/>
    </row>
    <row r="726" ht="14.25" customHeight="1">
      <c r="H726" s="64"/>
      <c r="W726" s="65"/>
    </row>
    <row r="727" ht="14.25" customHeight="1">
      <c r="H727" s="64"/>
      <c r="W727" s="65"/>
    </row>
    <row r="728" ht="14.25" customHeight="1">
      <c r="H728" s="64"/>
      <c r="W728" s="65"/>
    </row>
    <row r="729" ht="14.25" customHeight="1">
      <c r="H729" s="64"/>
      <c r="W729" s="65"/>
    </row>
    <row r="730" ht="14.25" customHeight="1">
      <c r="H730" s="64"/>
      <c r="W730" s="65"/>
    </row>
    <row r="731" ht="14.25" customHeight="1">
      <c r="H731" s="64"/>
      <c r="W731" s="65"/>
    </row>
    <row r="732" ht="14.25" customHeight="1">
      <c r="H732" s="64"/>
      <c r="W732" s="65"/>
    </row>
    <row r="733" ht="14.25" customHeight="1">
      <c r="H733" s="64"/>
      <c r="W733" s="65"/>
    </row>
    <row r="734" ht="14.25" customHeight="1">
      <c r="H734" s="64"/>
      <c r="W734" s="65"/>
    </row>
    <row r="735" ht="14.25" customHeight="1">
      <c r="H735" s="64"/>
      <c r="W735" s="65"/>
    </row>
    <row r="736" ht="14.25" customHeight="1">
      <c r="H736" s="64"/>
      <c r="W736" s="65"/>
    </row>
    <row r="737" ht="14.25" customHeight="1">
      <c r="H737" s="64"/>
      <c r="W737" s="65"/>
    </row>
    <row r="738" ht="14.25" customHeight="1">
      <c r="H738" s="64"/>
      <c r="W738" s="65"/>
    </row>
    <row r="739" ht="14.25" customHeight="1">
      <c r="H739" s="64"/>
      <c r="W739" s="65"/>
    </row>
    <row r="740" ht="14.25" customHeight="1">
      <c r="H740" s="64"/>
      <c r="W740" s="65"/>
    </row>
    <row r="741" ht="14.25" customHeight="1">
      <c r="H741" s="64"/>
      <c r="W741" s="65"/>
    </row>
    <row r="742" ht="14.25" customHeight="1">
      <c r="H742" s="64"/>
      <c r="W742" s="65"/>
    </row>
    <row r="743" ht="14.25" customHeight="1">
      <c r="H743" s="64"/>
      <c r="W743" s="65"/>
    </row>
    <row r="744" ht="14.25" customHeight="1">
      <c r="H744" s="64"/>
      <c r="W744" s="65"/>
    </row>
    <row r="745" ht="14.25" customHeight="1">
      <c r="H745" s="64"/>
      <c r="W745" s="65"/>
    </row>
    <row r="746" ht="14.25" customHeight="1">
      <c r="H746" s="64"/>
      <c r="W746" s="65"/>
    </row>
    <row r="747" ht="14.25" customHeight="1">
      <c r="H747" s="64"/>
      <c r="W747" s="65"/>
    </row>
    <row r="748" ht="14.25" customHeight="1">
      <c r="H748" s="64"/>
      <c r="W748" s="65"/>
    </row>
    <row r="749" ht="14.25" customHeight="1">
      <c r="H749" s="64"/>
      <c r="W749" s="65"/>
    </row>
    <row r="750" ht="14.25" customHeight="1">
      <c r="H750" s="64"/>
      <c r="W750" s="65"/>
    </row>
    <row r="751" ht="14.25" customHeight="1">
      <c r="H751" s="64"/>
      <c r="W751" s="65"/>
    </row>
    <row r="752" ht="14.25" customHeight="1">
      <c r="H752" s="64"/>
      <c r="W752" s="65"/>
    </row>
    <row r="753" ht="14.25" customHeight="1">
      <c r="H753" s="64"/>
      <c r="W753" s="65"/>
    </row>
    <row r="754" ht="14.25" customHeight="1">
      <c r="H754" s="64"/>
      <c r="W754" s="65"/>
    </row>
    <row r="755" ht="14.25" customHeight="1">
      <c r="H755" s="64"/>
      <c r="W755" s="65"/>
    </row>
    <row r="756" ht="14.25" customHeight="1">
      <c r="H756" s="64"/>
      <c r="W756" s="65"/>
    </row>
    <row r="757" ht="14.25" customHeight="1">
      <c r="H757" s="64"/>
      <c r="W757" s="65"/>
    </row>
    <row r="758" ht="14.25" customHeight="1">
      <c r="H758" s="64"/>
      <c r="W758" s="65"/>
    </row>
    <row r="759" ht="14.25" customHeight="1">
      <c r="H759" s="64"/>
      <c r="W759" s="65"/>
    </row>
    <row r="760" ht="14.25" customHeight="1">
      <c r="H760" s="64"/>
      <c r="W760" s="65"/>
    </row>
    <row r="761" ht="14.25" customHeight="1">
      <c r="H761" s="64"/>
      <c r="W761" s="65"/>
    </row>
    <row r="762" ht="14.25" customHeight="1">
      <c r="H762" s="64"/>
      <c r="W762" s="65"/>
    </row>
    <row r="763" ht="14.25" customHeight="1">
      <c r="H763" s="64"/>
      <c r="W763" s="65"/>
    </row>
    <row r="764" ht="14.25" customHeight="1">
      <c r="H764" s="64"/>
      <c r="W764" s="65"/>
    </row>
    <row r="765" ht="14.25" customHeight="1">
      <c r="H765" s="64"/>
      <c r="W765" s="65"/>
    </row>
    <row r="766" ht="14.25" customHeight="1">
      <c r="H766" s="64"/>
      <c r="W766" s="65"/>
    </row>
    <row r="767" ht="14.25" customHeight="1">
      <c r="H767" s="64"/>
      <c r="W767" s="65"/>
    </row>
    <row r="768" ht="14.25" customHeight="1">
      <c r="H768" s="64"/>
      <c r="W768" s="65"/>
    </row>
    <row r="769" ht="14.25" customHeight="1">
      <c r="H769" s="64"/>
      <c r="W769" s="65"/>
    </row>
    <row r="770" ht="14.25" customHeight="1">
      <c r="H770" s="64"/>
      <c r="W770" s="65"/>
    </row>
    <row r="771" ht="14.25" customHeight="1">
      <c r="H771" s="64"/>
      <c r="W771" s="65"/>
    </row>
    <row r="772" ht="14.25" customHeight="1">
      <c r="H772" s="64"/>
      <c r="W772" s="65"/>
    </row>
    <row r="773" ht="14.25" customHeight="1">
      <c r="H773" s="64"/>
      <c r="W773" s="65"/>
    </row>
    <row r="774" ht="14.25" customHeight="1">
      <c r="H774" s="64"/>
      <c r="W774" s="65"/>
    </row>
    <row r="775" ht="14.25" customHeight="1">
      <c r="H775" s="64"/>
      <c r="W775" s="65"/>
    </row>
    <row r="776" ht="14.25" customHeight="1">
      <c r="H776" s="64"/>
      <c r="W776" s="65"/>
    </row>
    <row r="777" ht="14.25" customHeight="1">
      <c r="H777" s="64"/>
      <c r="W777" s="65"/>
    </row>
    <row r="778" ht="14.25" customHeight="1">
      <c r="H778" s="64"/>
      <c r="W778" s="65"/>
    </row>
    <row r="779" ht="14.25" customHeight="1">
      <c r="H779" s="64"/>
      <c r="W779" s="65"/>
    </row>
    <row r="780" ht="14.25" customHeight="1">
      <c r="H780" s="64"/>
      <c r="W780" s="65"/>
    </row>
    <row r="781" ht="14.25" customHeight="1">
      <c r="H781" s="64"/>
      <c r="W781" s="65"/>
    </row>
    <row r="782" ht="14.25" customHeight="1">
      <c r="H782" s="64"/>
      <c r="W782" s="65"/>
    </row>
    <row r="783" ht="14.25" customHeight="1">
      <c r="H783" s="64"/>
      <c r="W783" s="65"/>
    </row>
    <row r="784" ht="14.25" customHeight="1">
      <c r="H784" s="64"/>
      <c r="W784" s="65"/>
    </row>
    <row r="785" ht="14.25" customHeight="1">
      <c r="H785" s="64"/>
      <c r="W785" s="65"/>
    </row>
    <row r="786" ht="14.25" customHeight="1">
      <c r="H786" s="64"/>
      <c r="W786" s="65"/>
    </row>
    <row r="787" ht="14.25" customHeight="1">
      <c r="H787" s="64"/>
      <c r="W787" s="65"/>
    </row>
    <row r="788" ht="14.25" customHeight="1">
      <c r="H788" s="64"/>
      <c r="W788" s="65"/>
    </row>
    <row r="789" ht="14.25" customHeight="1">
      <c r="H789" s="64"/>
      <c r="W789" s="65"/>
    </row>
    <row r="790" ht="14.25" customHeight="1">
      <c r="H790" s="64"/>
      <c r="W790" s="65"/>
    </row>
    <row r="791" ht="14.25" customHeight="1">
      <c r="H791" s="64"/>
      <c r="W791" s="65"/>
    </row>
    <row r="792" ht="14.25" customHeight="1">
      <c r="H792" s="64"/>
      <c r="W792" s="65"/>
    </row>
    <row r="793" ht="14.25" customHeight="1">
      <c r="H793" s="64"/>
      <c r="W793" s="65"/>
    </row>
    <row r="794" ht="14.25" customHeight="1">
      <c r="H794" s="64"/>
      <c r="W794" s="65"/>
    </row>
    <row r="795" ht="14.25" customHeight="1">
      <c r="H795" s="64"/>
      <c r="W795" s="65"/>
    </row>
    <row r="796" ht="14.25" customHeight="1">
      <c r="H796" s="64"/>
      <c r="W796" s="65"/>
    </row>
    <row r="797" ht="14.25" customHeight="1">
      <c r="H797" s="64"/>
      <c r="W797" s="65"/>
    </row>
    <row r="798" ht="14.25" customHeight="1">
      <c r="H798" s="64"/>
      <c r="W798" s="65"/>
    </row>
    <row r="799" ht="14.25" customHeight="1">
      <c r="H799" s="64"/>
      <c r="W799" s="65"/>
    </row>
    <row r="800" ht="14.25" customHeight="1">
      <c r="H800" s="64"/>
      <c r="W800" s="65"/>
    </row>
    <row r="801" ht="14.25" customHeight="1">
      <c r="H801" s="64"/>
      <c r="W801" s="65"/>
    </row>
    <row r="802" ht="14.25" customHeight="1">
      <c r="H802" s="64"/>
      <c r="W802" s="65"/>
    </row>
    <row r="803" ht="14.25" customHeight="1">
      <c r="H803" s="64"/>
      <c r="W803" s="65"/>
    </row>
    <row r="804" ht="14.25" customHeight="1">
      <c r="H804" s="64"/>
      <c r="W804" s="65"/>
    </row>
    <row r="805" ht="14.25" customHeight="1">
      <c r="H805" s="64"/>
      <c r="W805" s="65"/>
    </row>
    <row r="806" ht="14.25" customHeight="1">
      <c r="H806" s="64"/>
      <c r="W806" s="65"/>
    </row>
    <row r="807" ht="14.25" customHeight="1">
      <c r="H807" s="64"/>
      <c r="W807" s="65"/>
    </row>
    <row r="808" ht="14.25" customHeight="1">
      <c r="H808" s="64"/>
      <c r="W808" s="65"/>
    </row>
    <row r="809" ht="14.25" customHeight="1">
      <c r="H809" s="64"/>
      <c r="W809" s="65"/>
    </row>
    <row r="810" ht="14.25" customHeight="1">
      <c r="H810" s="64"/>
      <c r="W810" s="65"/>
    </row>
    <row r="811" ht="14.25" customHeight="1">
      <c r="H811" s="64"/>
      <c r="W811" s="65"/>
    </row>
    <row r="812" ht="14.25" customHeight="1">
      <c r="H812" s="64"/>
      <c r="W812" s="65"/>
    </row>
    <row r="813" ht="14.25" customHeight="1">
      <c r="H813" s="64"/>
      <c r="W813" s="65"/>
    </row>
    <row r="814" ht="14.25" customHeight="1">
      <c r="H814" s="64"/>
      <c r="W814" s="65"/>
    </row>
    <row r="815" ht="14.25" customHeight="1">
      <c r="H815" s="64"/>
      <c r="W815" s="65"/>
    </row>
    <row r="816" ht="14.25" customHeight="1">
      <c r="H816" s="64"/>
      <c r="W816" s="65"/>
    </row>
    <row r="817" ht="14.25" customHeight="1">
      <c r="H817" s="64"/>
      <c r="W817" s="65"/>
    </row>
    <row r="818" ht="14.25" customHeight="1">
      <c r="H818" s="64"/>
      <c r="W818" s="65"/>
    </row>
    <row r="819" ht="14.25" customHeight="1">
      <c r="H819" s="64"/>
      <c r="W819" s="65"/>
    </row>
    <row r="820" ht="14.25" customHeight="1">
      <c r="H820" s="64"/>
      <c r="W820" s="65"/>
    </row>
    <row r="821" ht="14.25" customHeight="1">
      <c r="H821" s="64"/>
      <c r="W821" s="65"/>
    </row>
    <row r="822" ht="14.25" customHeight="1">
      <c r="H822" s="64"/>
      <c r="W822" s="65"/>
    </row>
    <row r="823" ht="14.25" customHeight="1">
      <c r="H823" s="64"/>
      <c r="W823" s="65"/>
    </row>
    <row r="824" ht="14.25" customHeight="1">
      <c r="H824" s="64"/>
      <c r="W824" s="65"/>
    </row>
    <row r="825" ht="14.25" customHeight="1">
      <c r="H825" s="64"/>
      <c r="W825" s="65"/>
    </row>
    <row r="826" ht="14.25" customHeight="1">
      <c r="H826" s="64"/>
      <c r="W826" s="65"/>
    </row>
    <row r="827" ht="14.25" customHeight="1">
      <c r="H827" s="64"/>
      <c r="W827" s="65"/>
    </row>
    <row r="828" ht="14.25" customHeight="1">
      <c r="H828" s="64"/>
      <c r="W828" s="65"/>
    </row>
    <row r="829" ht="14.25" customHeight="1">
      <c r="H829" s="64"/>
      <c r="W829" s="65"/>
    </row>
    <row r="830" ht="14.25" customHeight="1">
      <c r="H830" s="64"/>
      <c r="W830" s="65"/>
    </row>
    <row r="831" ht="14.25" customHeight="1">
      <c r="H831" s="64"/>
      <c r="W831" s="65"/>
    </row>
    <row r="832" ht="14.25" customHeight="1">
      <c r="H832" s="64"/>
      <c r="W832" s="65"/>
    </row>
    <row r="833" ht="14.25" customHeight="1">
      <c r="H833" s="64"/>
      <c r="W833" s="65"/>
    </row>
    <row r="834" ht="14.25" customHeight="1">
      <c r="H834" s="64"/>
      <c r="W834" s="65"/>
    </row>
    <row r="835" ht="14.25" customHeight="1">
      <c r="H835" s="64"/>
      <c r="W835" s="65"/>
    </row>
    <row r="836" ht="14.25" customHeight="1">
      <c r="H836" s="64"/>
      <c r="W836" s="65"/>
    </row>
    <row r="837" ht="14.25" customHeight="1">
      <c r="H837" s="64"/>
      <c r="W837" s="65"/>
    </row>
    <row r="838" ht="14.25" customHeight="1">
      <c r="H838" s="64"/>
      <c r="W838" s="65"/>
    </row>
    <row r="839" ht="14.25" customHeight="1">
      <c r="H839" s="64"/>
      <c r="W839" s="65"/>
    </row>
    <row r="840" ht="14.25" customHeight="1">
      <c r="H840" s="64"/>
      <c r="W840" s="65"/>
    </row>
    <row r="841" ht="14.25" customHeight="1">
      <c r="H841" s="64"/>
      <c r="W841" s="65"/>
    </row>
    <row r="842" ht="14.25" customHeight="1">
      <c r="H842" s="64"/>
      <c r="W842" s="65"/>
    </row>
    <row r="843" ht="14.25" customHeight="1">
      <c r="H843" s="64"/>
      <c r="W843" s="65"/>
    </row>
    <row r="844" ht="14.25" customHeight="1">
      <c r="H844" s="64"/>
      <c r="W844" s="65"/>
    </row>
    <row r="845" ht="14.25" customHeight="1">
      <c r="H845" s="64"/>
      <c r="W845" s="65"/>
    </row>
    <row r="846" ht="14.25" customHeight="1">
      <c r="H846" s="64"/>
      <c r="W846" s="65"/>
    </row>
    <row r="847" ht="14.25" customHeight="1">
      <c r="H847" s="64"/>
      <c r="W847" s="65"/>
    </row>
    <row r="848" ht="14.25" customHeight="1">
      <c r="H848" s="64"/>
      <c r="W848" s="65"/>
    </row>
    <row r="849" ht="14.25" customHeight="1">
      <c r="H849" s="64"/>
      <c r="W849" s="65"/>
    </row>
    <row r="850" ht="14.25" customHeight="1">
      <c r="H850" s="64"/>
      <c r="W850" s="65"/>
    </row>
    <row r="851" ht="14.25" customHeight="1">
      <c r="H851" s="64"/>
      <c r="W851" s="65"/>
    </row>
    <row r="852" ht="14.25" customHeight="1">
      <c r="H852" s="64"/>
      <c r="W852" s="65"/>
    </row>
    <row r="853" ht="14.25" customHeight="1">
      <c r="H853" s="64"/>
      <c r="W853" s="65"/>
    </row>
    <row r="854" ht="14.25" customHeight="1">
      <c r="H854" s="64"/>
      <c r="W854" s="65"/>
    </row>
    <row r="855" ht="14.25" customHeight="1">
      <c r="H855" s="64"/>
      <c r="W855" s="65"/>
    </row>
    <row r="856" ht="14.25" customHeight="1">
      <c r="H856" s="64"/>
      <c r="W856" s="65"/>
    </row>
    <row r="857" ht="14.25" customHeight="1">
      <c r="H857" s="64"/>
      <c r="W857" s="65"/>
    </row>
    <row r="858" ht="14.25" customHeight="1">
      <c r="H858" s="64"/>
      <c r="W858" s="65"/>
    </row>
    <row r="859" ht="14.25" customHeight="1">
      <c r="H859" s="64"/>
      <c r="W859" s="65"/>
    </row>
    <row r="860" ht="14.25" customHeight="1">
      <c r="H860" s="64"/>
      <c r="W860" s="65"/>
    </row>
    <row r="861" ht="14.25" customHeight="1">
      <c r="H861" s="64"/>
      <c r="W861" s="65"/>
    </row>
    <row r="862" ht="14.25" customHeight="1">
      <c r="H862" s="64"/>
      <c r="W862" s="65"/>
    </row>
    <row r="863" ht="14.25" customHeight="1">
      <c r="H863" s="64"/>
      <c r="W863" s="65"/>
    </row>
    <row r="864" ht="14.25" customHeight="1">
      <c r="H864" s="64"/>
      <c r="W864" s="65"/>
    </row>
    <row r="865" ht="14.25" customHeight="1">
      <c r="H865" s="64"/>
      <c r="W865" s="65"/>
    </row>
    <row r="866" ht="14.25" customHeight="1">
      <c r="H866" s="64"/>
      <c r="W866" s="65"/>
    </row>
    <row r="867" ht="14.25" customHeight="1">
      <c r="H867" s="64"/>
      <c r="W867" s="65"/>
    </row>
    <row r="868" ht="14.25" customHeight="1">
      <c r="H868" s="64"/>
      <c r="W868" s="65"/>
    </row>
    <row r="869" ht="14.25" customHeight="1">
      <c r="H869" s="64"/>
      <c r="W869" s="65"/>
    </row>
    <row r="870" ht="14.25" customHeight="1">
      <c r="H870" s="64"/>
      <c r="W870" s="65"/>
    </row>
    <row r="871" ht="14.25" customHeight="1">
      <c r="H871" s="64"/>
      <c r="W871" s="65"/>
    </row>
    <row r="872" ht="14.25" customHeight="1">
      <c r="H872" s="64"/>
      <c r="W872" s="65"/>
    </row>
    <row r="873" ht="14.25" customHeight="1">
      <c r="H873" s="64"/>
      <c r="W873" s="65"/>
    </row>
    <row r="874" ht="14.25" customHeight="1">
      <c r="H874" s="64"/>
      <c r="W874" s="65"/>
    </row>
    <row r="875" ht="14.25" customHeight="1">
      <c r="H875" s="64"/>
      <c r="W875" s="65"/>
    </row>
    <row r="876" ht="14.25" customHeight="1">
      <c r="H876" s="64"/>
      <c r="W876" s="65"/>
    </row>
    <row r="877" ht="14.25" customHeight="1">
      <c r="H877" s="64"/>
      <c r="W877" s="65"/>
    </row>
    <row r="878" ht="14.25" customHeight="1">
      <c r="H878" s="64"/>
      <c r="W878" s="65"/>
    </row>
    <row r="879" ht="14.25" customHeight="1">
      <c r="H879" s="64"/>
      <c r="W879" s="65"/>
    </row>
    <row r="880" ht="14.25" customHeight="1">
      <c r="H880" s="64"/>
      <c r="W880" s="65"/>
    </row>
    <row r="881" ht="14.25" customHeight="1">
      <c r="H881" s="64"/>
      <c r="W881" s="65"/>
    </row>
    <row r="882" ht="14.25" customHeight="1">
      <c r="H882" s="64"/>
      <c r="W882" s="65"/>
    </row>
    <row r="883" ht="14.25" customHeight="1">
      <c r="H883" s="64"/>
      <c r="W883" s="65"/>
    </row>
    <row r="884" ht="14.25" customHeight="1">
      <c r="H884" s="64"/>
      <c r="W884" s="65"/>
    </row>
    <row r="885" ht="14.25" customHeight="1">
      <c r="H885" s="64"/>
      <c r="W885" s="65"/>
    </row>
    <row r="886" ht="14.25" customHeight="1">
      <c r="H886" s="64"/>
      <c r="W886" s="65"/>
    </row>
    <row r="887" ht="14.25" customHeight="1">
      <c r="H887" s="64"/>
      <c r="W887" s="65"/>
    </row>
    <row r="888" ht="14.25" customHeight="1">
      <c r="H888" s="64"/>
      <c r="W888" s="65"/>
    </row>
    <row r="889" ht="14.25" customHeight="1">
      <c r="H889" s="64"/>
      <c r="W889" s="65"/>
    </row>
    <row r="890" ht="14.25" customHeight="1">
      <c r="H890" s="64"/>
      <c r="W890" s="65"/>
    </row>
    <row r="891" ht="14.25" customHeight="1">
      <c r="H891" s="64"/>
      <c r="W891" s="65"/>
    </row>
    <row r="892" ht="14.25" customHeight="1">
      <c r="H892" s="64"/>
      <c r="W892" s="65"/>
    </row>
    <row r="893" ht="14.25" customHeight="1">
      <c r="H893" s="64"/>
      <c r="W893" s="65"/>
    </row>
    <row r="894" ht="14.25" customHeight="1">
      <c r="H894" s="64"/>
      <c r="W894" s="65"/>
    </row>
    <row r="895" ht="14.25" customHeight="1">
      <c r="H895" s="64"/>
      <c r="W895" s="65"/>
    </row>
    <row r="896" ht="14.25" customHeight="1">
      <c r="H896" s="64"/>
      <c r="W896" s="65"/>
    </row>
    <row r="897" ht="14.25" customHeight="1">
      <c r="H897" s="64"/>
      <c r="W897" s="65"/>
    </row>
    <row r="898" ht="14.25" customHeight="1">
      <c r="H898" s="64"/>
      <c r="W898" s="65"/>
    </row>
    <row r="899" ht="14.25" customHeight="1">
      <c r="H899" s="64"/>
      <c r="W899" s="65"/>
    </row>
    <row r="900" ht="14.25" customHeight="1">
      <c r="H900" s="64"/>
      <c r="W900" s="65"/>
    </row>
    <row r="901" ht="14.25" customHeight="1">
      <c r="H901" s="64"/>
      <c r="W901" s="65"/>
    </row>
    <row r="902" ht="14.25" customHeight="1">
      <c r="H902" s="64"/>
      <c r="W902" s="65"/>
    </row>
    <row r="903" ht="14.25" customHeight="1">
      <c r="H903" s="64"/>
      <c r="W903" s="65"/>
    </row>
    <row r="904" ht="14.25" customHeight="1">
      <c r="H904" s="64"/>
      <c r="W904" s="65"/>
    </row>
    <row r="905" ht="14.25" customHeight="1">
      <c r="H905" s="64"/>
      <c r="W905" s="65"/>
    </row>
    <row r="906" ht="14.25" customHeight="1">
      <c r="H906" s="64"/>
      <c r="W906" s="65"/>
    </row>
    <row r="907" ht="14.25" customHeight="1">
      <c r="H907" s="64"/>
      <c r="W907" s="65"/>
    </row>
    <row r="908" ht="14.25" customHeight="1">
      <c r="H908" s="64"/>
      <c r="W908" s="65"/>
    </row>
    <row r="909" ht="14.25" customHeight="1">
      <c r="H909" s="64"/>
      <c r="W909" s="65"/>
    </row>
    <row r="910" ht="14.25" customHeight="1">
      <c r="H910" s="64"/>
      <c r="W910" s="65"/>
    </row>
    <row r="911" ht="14.25" customHeight="1">
      <c r="H911" s="64"/>
      <c r="W911" s="65"/>
    </row>
    <row r="912" ht="14.25" customHeight="1">
      <c r="H912" s="64"/>
      <c r="W912" s="65"/>
    </row>
    <row r="913" ht="14.25" customHeight="1">
      <c r="H913" s="64"/>
      <c r="W913" s="65"/>
    </row>
    <row r="914" ht="14.25" customHeight="1">
      <c r="H914" s="64"/>
      <c r="W914" s="65"/>
    </row>
    <row r="915" ht="14.25" customHeight="1">
      <c r="H915" s="64"/>
      <c r="W915" s="65"/>
    </row>
    <row r="916" ht="14.25" customHeight="1">
      <c r="H916" s="64"/>
      <c r="W916" s="65"/>
    </row>
    <row r="917" ht="14.25" customHeight="1">
      <c r="H917" s="64"/>
      <c r="W917" s="65"/>
    </row>
    <row r="918" ht="14.25" customHeight="1">
      <c r="H918" s="64"/>
      <c r="W918" s="65"/>
    </row>
    <row r="919" ht="14.25" customHeight="1">
      <c r="H919" s="64"/>
      <c r="W919" s="65"/>
    </row>
    <row r="920" ht="14.25" customHeight="1">
      <c r="H920" s="64"/>
      <c r="W920" s="65"/>
    </row>
    <row r="921" ht="14.25" customHeight="1">
      <c r="H921" s="64"/>
      <c r="W921" s="65"/>
    </row>
    <row r="922" ht="14.25" customHeight="1">
      <c r="H922" s="64"/>
      <c r="W922" s="65"/>
    </row>
    <row r="923" ht="14.25" customHeight="1">
      <c r="H923" s="64"/>
      <c r="W923" s="65"/>
    </row>
    <row r="924" ht="14.25" customHeight="1">
      <c r="H924" s="64"/>
      <c r="W924" s="65"/>
    </row>
    <row r="925" ht="14.25" customHeight="1">
      <c r="H925" s="64"/>
      <c r="W925" s="65"/>
    </row>
    <row r="926" ht="14.25" customHeight="1">
      <c r="H926" s="64"/>
      <c r="W926" s="65"/>
    </row>
    <row r="927" ht="14.25" customHeight="1">
      <c r="H927" s="64"/>
      <c r="W927" s="65"/>
    </row>
    <row r="928" ht="14.25" customHeight="1">
      <c r="H928" s="64"/>
      <c r="W928" s="65"/>
    </row>
    <row r="929" ht="14.25" customHeight="1">
      <c r="H929" s="64"/>
      <c r="W929" s="65"/>
    </row>
    <row r="930" ht="14.25" customHeight="1">
      <c r="H930" s="64"/>
      <c r="W930" s="65"/>
    </row>
    <row r="931" ht="14.25" customHeight="1">
      <c r="H931" s="64"/>
      <c r="W931" s="65"/>
    </row>
    <row r="932" ht="14.25" customHeight="1">
      <c r="H932" s="64"/>
      <c r="W932" s="65"/>
    </row>
    <row r="933" ht="14.25" customHeight="1">
      <c r="H933" s="64"/>
      <c r="W933" s="65"/>
    </row>
    <row r="934" ht="14.25" customHeight="1">
      <c r="H934" s="64"/>
      <c r="W934" s="65"/>
    </row>
    <row r="935" ht="14.25" customHeight="1">
      <c r="H935" s="64"/>
      <c r="W935" s="65"/>
    </row>
    <row r="936" ht="14.25" customHeight="1">
      <c r="H936" s="64"/>
      <c r="W936" s="65"/>
    </row>
    <row r="937" ht="14.25" customHeight="1">
      <c r="H937" s="64"/>
      <c r="W937" s="65"/>
    </row>
    <row r="938" ht="14.25" customHeight="1">
      <c r="H938" s="64"/>
      <c r="W938" s="65"/>
    </row>
    <row r="939" ht="14.25" customHeight="1">
      <c r="H939" s="64"/>
      <c r="W939" s="65"/>
    </row>
    <row r="940" ht="14.25" customHeight="1">
      <c r="H940" s="64"/>
      <c r="W940" s="65"/>
    </row>
    <row r="941" ht="14.25" customHeight="1">
      <c r="H941" s="64"/>
      <c r="W941" s="65"/>
    </row>
    <row r="942" ht="14.25" customHeight="1">
      <c r="H942" s="64"/>
      <c r="W942" s="65"/>
    </row>
    <row r="943" ht="14.25" customHeight="1">
      <c r="H943" s="64"/>
      <c r="W943" s="65"/>
    </row>
    <row r="944" ht="14.25" customHeight="1">
      <c r="H944" s="64"/>
      <c r="W944" s="65"/>
    </row>
    <row r="945" ht="14.25" customHeight="1">
      <c r="H945" s="64"/>
      <c r="W945" s="65"/>
    </row>
    <row r="946" ht="14.25" customHeight="1">
      <c r="H946" s="64"/>
      <c r="W946" s="65"/>
    </row>
    <row r="947" ht="14.25" customHeight="1">
      <c r="H947" s="64"/>
      <c r="W947" s="65"/>
    </row>
    <row r="948" ht="14.25" customHeight="1">
      <c r="H948" s="64"/>
      <c r="W948" s="65"/>
    </row>
    <row r="949" ht="14.25" customHeight="1">
      <c r="H949" s="64"/>
      <c r="W949" s="65"/>
    </row>
    <row r="950" ht="14.25" customHeight="1">
      <c r="H950" s="64"/>
      <c r="W950" s="65"/>
    </row>
    <row r="951" ht="14.25" customHeight="1">
      <c r="H951" s="64"/>
      <c r="W951" s="65"/>
    </row>
    <row r="952" ht="14.25" customHeight="1">
      <c r="H952" s="64"/>
      <c r="W952" s="65"/>
    </row>
    <row r="953" ht="14.25" customHeight="1">
      <c r="H953" s="64"/>
      <c r="W953" s="65"/>
    </row>
    <row r="954" ht="14.25" customHeight="1">
      <c r="H954" s="64"/>
      <c r="W954" s="65"/>
    </row>
    <row r="955" ht="14.25" customHeight="1">
      <c r="H955" s="64"/>
      <c r="W955" s="65"/>
    </row>
    <row r="956" ht="14.25" customHeight="1">
      <c r="H956" s="64"/>
      <c r="W956" s="65"/>
    </row>
    <row r="957" ht="14.25" customHeight="1">
      <c r="H957" s="64"/>
      <c r="W957" s="65"/>
    </row>
    <row r="958" ht="14.25" customHeight="1">
      <c r="H958" s="64"/>
      <c r="W958" s="65"/>
    </row>
    <row r="959" ht="14.25" customHeight="1">
      <c r="H959" s="64"/>
      <c r="W959" s="65"/>
    </row>
    <row r="960" ht="14.25" customHeight="1">
      <c r="H960" s="64"/>
      <c r="W960" s="65"/>
    </row>
    <row r="961" ht="14.25" customHeight="1">
      <c r="H961" s="64"/>
      <c r="W961" s="65"/>
    </row>
    <row r="962" ht="14.25" customHeight="1">
      <c r="H962" s="64"/>
      <c r="W962" s="65"/>
    </row>
    <row r="963" ht="14.25" customHeight="1">
      <c r="H963" s="64"/>
      <c r="W963" s="65"/>
    </row>
    <row r="964" ht="14.25" customHeight="1">
      <c r="H964" s="64"/>
      <c r="W964" s="65"/>
    </row>
    <row r="965" ht="14.25" customHeight="1">
      <c r="H965" s="64"/>
      <c r="W965" s="65"/>
    </row>
    <row r="966" ht="14.25" customHeight="1">
      <c r="H966" s="64"/>
      <c r="W966" s="65"/>
    </row>
    <row r="967" ht="14.25" customHeight="1">
      <c r="H967" s="64"/>
      <c r="W967" s="65"/>
    </row>
    <row r="968" ht="14.25" customHeight="1">
      <c r="H968" s="64"/>
      <c r="W968" s="65"/>
    </row>
    <row r="969" ht="14.25" customHeight="1">
      <c r="H969" s="64"/>
      <c r="W969" s="65"/>
    </row>
    <row r="970" ht="14.25" customHeight="1">
      <c r="H970" s="64"/>
      <c r="W970" s="65"/>
    </row>
    <row r="971" ht="14.25" customHeight="1">
      <c r="H971" s="64"/>
      <c r="W971" s="65"/>
    </row>
    <row r="972" ht="14.25" customHeight="1">
      <c r="H972" s="64"/>
      <c r="W972" s="65"/>
    </row>
    <row r="973" ht="14.25" customHeight="1">
      <c r="H973" s="64"/>
      <c r="W973" s="65"/>
    </row>
    <row r="974" ht="14.25" customHeight="1">
      <c r="H974" s="64"/>
      <c r="W974" s="65"/>
    </row>
    <row r="975" ht="14.25" customHeight="1">
      <c r="H975" s="64"/>
      <c r="W975" s="65"/>
    </row>
    <row r="976" ht="14.25" customHeight="1">
      <c r="H976" s="64"/>
      <c r="W976" s="65"/>
    </row>
    <row r="977" ht="14.25" customHeight="1">
      <c r="H977" s="64"/>
      <c r="W977" s="65"/>
    </row>
    <row r="978" ht="14.25" customHeight="1">
      <c r="H978" s="64"/>
      <c r="W978" s="65"/>
    </row>
    <row r="979" ht="14.25" customHeight="1">
      <c r="H979" s="64"/>
      <c r="W979" s="65"/>
    </row>
    <row r="980" ht="14.25" customHeight="1">
      <c r="H980" s="64"/>
      <c r="W980" s="65"/>
    </row>
    <row r="981" ht="14.25" customHeight="1">
      <c r="H981" s="64"/>
      <c r="W981" s="65"/>
    </row>
    <row r="982" ht="14.25" customHeight="1">
      <c r="H982" s="64"/>
      <c r="W982" s="65"/>
    </row>
    <row r="983" ht="14.25" customHeight="1">
      <c r="H983" s="64"/>
      <c r="W983" s="65"/>
    </row>
    <row r="984" ht="14.25" customHeight="1">
      <c r="H984" s="64"/>
      <c r="W984" s="65"/>
    </row>
    <row r="985" ht="14.25" customHeight="1">
      <c r="H985" s="64"/>
      <c r="W985" s="65"/>
    </row>
    <row r="986" ht="14.25" customHeight="1">
      <c r="H986" s="64"/>
      <c r="W986" s="65"/>
    </row>
    <row r="987" ht="14.25" customHeight="1">
      <c r="H987" s="64"/>
      <c r="W987" s="65"/>
    </row>
    <row r="988" ht="14.25" customHeight="1">
      <c r="H988" s="64"/>
      <c r="W988" s="65"/>
    </row>
    <row r="989" ht="14.25" customHeight="1">
      <c r="H989" s="64"/>
      <c r="W989" s="65"/>
    </row>
    <row r="990" ht="14.25" customHeight="1">
      <c r="H990" s="64"/>
      <c r="W990" s="65"/>
    </row>
    <row r="991" ht="14.25" customHeight="1">
      <c r="H991" s="64"/>
      <c r="W991" s="65"/>
    </row>
    <row r="992" ht="14.25" customHeight="1">
      <c r="H992" s="64"/>
      <c r="W992" s="65"/>
    </row>
    <row r="993" ht="14.25" customHeight="1">
      <c r="H993" s="64"/>
      <c r="W993" s="65"/>
    </row>
    <row r="994" ht="14.25" customHeight="1">
      <c r="H994" s="64"/>
      <c r="W994" s="65"/>
    </row>
    <row r="995" ht="14.25" customHeight="1">
      <c r="H995" s="64"/>
      <c r="W995" s="65"/>
    </row>
    <row r="996" ht="14.25" customHeight="1">
      <c r="H996" s="64"/>
      <c r="W996" s="65"/>
    </row>
    <row r="997" ht="14.25" customHeight="1">
      <c r="H997" s="64"/>
      <c r="W997" s="65"/>
    </row>
    <row r="998" ht="14.25" customHeight="1">
      <c r="H998" s="64"/>
      <c r="W998" s="65"/>
    </row>
    <row r="999" ht="14.25" customHeight="1">
      <c r="H999" s="64"/>
      <c r="W999" s="65"/>
    </row>
    <row r="1000" ht="14.25" customHeight="1">
      <c r="H1000" s="64"/>
      <c r="W1000" s="65"/>
    </row>
    <row r="1001" ht="14.25" customHeight="1">
      <c r="H1001" s="64"/>
      <c r="W1001" s="65"/>
    </row>
    <row r="1002" ht="14.25" customHeight="1">
      <c r="H1002" s="64"/>
      <c r="W1002" s="65"/>
    </row>
    <row r="1003" ht="14.25" customHeight="1">
      <c r="H1003" s="64"/>
      <c r="W1003" s="65"/>
    </row>
  </sheetData>
  <printOptions/>
  <pageMargins bottom="0.75" footer="0.0" header="0.0" left="0.7" right="0.7" top="0.75"/>
  <pageSetup paperSize="9" scale="4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0"/>
  <cols>
    <col customWidth="1" min="1" max="1" width="9.13"/>
    <col customWidth="1" hidden="1" min="2" max="2" width="20.13"/>
    <col customWidth="1" hidden="1" min="3" max="3" width="16.88"/>
    <col customWidth="1" hidden="1" min="4" max="4" width="10.13"/>
    <col customWidth="1" hidden="1" min="5" max="5" width="10.88"/>
    <col customWidth="1" hidden="1" min="6" max="6" width="11.88"/>
    <col customWidth="1" hidden="1" min="7" max="7" width="18.13"/>
    <col customWidth="1" hidden="1" min="8" max="8" width="16.88"/>
    <col customWidth="1" min="9" max="9" width="29.0"/>
    <col customWidth="1" min="10" max="10" width="16.0"/>
    <col customWidth="1" min="11" max="12" width="21.88"/>
    <col customWidth="1" min="13" max="13" width="11.13"/>
    <col customWidth="1" min="14" max="14" width="12.38"/>
    <col customWidth="1" min="15" max="15" width="19.38"/>
    <col customWidth="1" min="16" max="16" width="13.13"/>
    <col customWidth="1" min="17" max="17" width="22.0"/>
    <col customWidth="1" min="18" max="18" width="19.88"/>
    <col customWidth="1" min="19" max="19" width="7.13"/>
    <col customWidth="1" min="20" max="20" width="13.38"/>
    <col customWidth="1" min="21" max="21" width="13.88"/>
    <col customWidth="1" min="22" max="22" width="13.75"/>
    <col customWidth="1" min="23" max="24" width="18.25"/>
  </cols>
  <sheetData>
    <row r="1" ht="12.0" customHeight="1">
      <c r="A1" s="47" t="s">
        <v>412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5"/>
    </row>
    <row r="2" ht="12.0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5"/>
    </row>
    <row r="3" ht="12.0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5"/>
    </row>
    <row r="4" ht="12.0" customHeight="1">
      <c r="A4" s="49" t="s">
        <v>0</v>
      </c>
      <c r="B4" s="49" t="s">
        <v>1</v>
      </c>
      <c r="C4" s="49" t="s">
        <v>2</v>
      </c>
      <c r="D4" s="49" t="s">
        <v>3</v>
      </c>
      <c r="E4" s="49" t="s">
        <v>5</v>
      </c>
      <c r="F4" s="49" t="s">
        <v>6</v>
      </c>
      <c r="G4" s="49" t="s">
        <v>7</v>
      </c>
      <c r="H4" s="49" t="s">
        <v>8</v>
      </c>
      <c r="I4" s="49" t="s">
        <v>353</v>
      </c>
      <c r="J4" s="49" t="s">
        <v>40</v>
      </c>
      <c r="K4" s="49" t="s">
        <v>9</v>
      </c>
      <c r="L4" s="49" t="s">
        <v>10</v>
      </c>
      <c r="M4" s="49" t="s">
        <v>46</v>
      </c>
      <c r="N4" s="49" t="s">
        <v>11</v>
      </c>
      <c r="O4" s="49" t="s">
        <v>49</v>
      </c>
      <c r="P4" s="49" t="s">
        <v>12</v>
      </c>
      <c r="Q4" s="49" t="s">
        <v>414</v>
      </c>
      <c r="R4" s="49" t="s">
        <v>415</v>
      </c>
      <c r="S4" s="49" t="s">
        <v>416</v>
      </c>
      <c r="T4" s="5" t="s">
        <v>417</v>
      </c>
    </row>
    <row r="5" ht="12.0" customHeight="1">
      <c r="A5" s="5" t="s">
        <v>23</v>
      </c>
      <c r="B5" s="5" t="s">
        <v>24</v>
      </c>
      <c r="C5" s="5" t="s">
        <v>25</v>
      </c>
      <c r="D5" s="5" t="s">
        <v>26</v>
      </c>
      <c r="E5" s="5">
        <v>390235.655</v>
      </c>
      <c r="F5" s="5">
        <v>9896421.412</v>
      </c>
      <c r="G5" s="5">
        <v>-0.9369673275776959</v>
      </c>
      <c r="H5" s="5">
        <v>134.013493561028</v>
      </c>
      <c r="I5" s="5" t="s">
        <v>27</v>
      </c>
      <c r="J5" s="5">
        <v>1.0</v>
      </c>
      <c r="K5" s="5">
        <v>0.0</v>
      </c>
      <c r="L5" s="5">
        <v>14.59</v>
      </c>
      <c r="M5" s="5" t="s">
        <v>85</v>
      </c>
      <c r="N5" s="5">
        <v>313.0</v>
      </c>
      <c r="O5" s="5">
        <v>3.0</v>
      </c>
      <c r="P5" s="5">
        <v>76.0</v>
      </c>
      <c r="Q5" s="5">
        <v>0.0</v>
      </c>
      <c r="R5" s="5">
        <v>4.0</v>
      </c>
      <c r="S5" s="50">
        <v>1.0</v>
      </c>
      <c r="T5" s="5">
        <v>2.4670000000000005</v>
      </c>
    </row>
    <row r="6" ht="12.0" customHeight="1">
      <c r="A6" s="5" t="s">
        <v>37</v>
      </c>
      <c r="B6" s="5" t="s">
        <v>24</v>
      </c>
      <c r="C6" s="5" t="s">
        <v>25</v>
      </c>
      <c r="D6" s="5" t="s">
        <v>26</v>
      </c>
      <c r="E6" s="5">
        <v>390009.232</v>
      </c>
      <c r="F6" s="5">
        <v>9896287.332</v>
      </c>
      <c r="G6" s="5">
        <v>-0.9381796290437072</v>
      </c>
      <c r="H6" s="5">
        <v>134.01145844850112</v>
      </c>
      <c r="I6" s="5" t="s">
        <v>27</v>
      </c>
      <c r="J6" s="5">
        <v>1.0</v>
      </c>
      <c r="K6" s="5">
        <v>263.179</v>
      </c>
      <c r="L6" s="5">
        <v>20.0</v>
      </c>
      <c r="M6" s="5" t="s">
        <v>109</v>
      </c>
      <c r="N6" s="5">
        <v>114.0</v>
      </c>
      <c r="O6" s="5">
        <v>2.0</v>
      </c>
      <c r="P6" s="5">
        <v>320.0</v>
      </c>
      <c r="Q6" s="5">
        <v>0.0</v>
      </c>
      <c r="R6" s="5">
        <v>1.0</v>
      </c>
      <c r="S6" s="50">
        <v>1.0</v>
      </c>
      <c r="T6" s="5">
        <v>4.044</v>
      </c>
    </row>
    <row r="7" ht="12.75" customHeight="1">
      <c r="A7" s="5" t="s">
        <v>41</v>
      </c>
      <c r="B7" s="5" t="s">
        <v>24</v>
      </c>
      <c r="C7" s="5" t="s">
        <v>25</v>
      </c>
      <c r="D7" s="5" t="s">
        <v>26</v>
      </c>
      <c r="E7" s="5">
        <v>389643.126</v>
      </c>
      <c r="F7" s="5">
        <v>9896195.618</v>
      </c>
      <c r="G7" s="5">
        <v>-0.9390083297563727</v>
      </c>
      <c r="H7" s="5">
        <v>134.00816816909355</v>
      </c>
      <c r="I7" s="5" t="s">
        <v>123</v>
      </c>
      <c r="J7" s="5">
        <v>3.0</v>
      </c>
      <c r="K7" s="5">
        <v>377.359</v>
      </c>
      <c r="L7" s="5">
        <v>6.0</v>
      </c>
      <c r="M7" s="5" t="s">
        <v>132</v>
      </c>
      <c r="N7" s="5">
        <v>18.0</v>
      </c>
      <c r="O7" s="5">
        <v>2.0</v>
      </c>
      <c r="P7" s="5">
        <v>456.0</v>
      </c>
      <c r="Q7" s="5">
        <v>13.0</v>
      </c>
      <c r="R7" s="5">
        <v>2.0</v>
      </c>
      <c r="S7" s="5">
        <v>0.0</v>
      </c>
      <c r="T7" s="5">
        <v>3.016</v>
      </c>
    </row>
    <row r="8" ht="12.0" customHeight="1">
      <c r="A8" s="5" t="s">
        <v>44</v>
      </c>
      <c r="B8" s="5" t="s">
        <v>136</v>
      </c>
      <c r="C8" s="5" t="s">
        <v>25</v>
      </c>
      <c r="D8" s="5" t="s">
        <v>26</v>
      </c>
      <c r="E8" s="5">
        <v>389358.174</v>
      </c>
      <c r="F8" s="5">
        <v>9895901.453</v>
      </c>
      <c r="G8" s="5">
        <v>-0.941668589810542</v>
      </c>
      <c r="H8" s="5">
        <v>134.00560667005618</v>
      </c>
      <c r="I8" s="5" t="s">
        <v>123</v>
      </c>
      <c r="J8" s="5">
        <v>3.0</v>
      </c>
      <c r="K8" s="5">
        <v>409.519</v>
      </c>
      <c r="L8" s="5">
        <v>11.0</v>
      </c>
      <c r="M8" s="5" t="s">
        <v>109</v>
      </c>
      <c r="N8" s="5">
        <v>116.0</v>
      </c>
      <c r="O8" s="5">
        <v>2.0</v>
      </c>
      <c r="P8" s="5">
        <v>746.0</v>
      </c>
      <c r="Q8" s="5">
        <v>13.0</v>
      </c>
      <c r="R8" s="5">
        <v>1.0</v>
      </c>
      <c r="S8" s="5">
        <v>0.0</v>
      </c>
      <c r="T8" s="5">
        <v>3.1390000000000002</v>
      </c>
    </row>
    <row r="9" ht="12.0" customHeight="1">
      <c r="A9" s="5" t="s">
        <v>48</v>
      </c>
      <c r="B9" s="5" t="s">
        <v>136</v>
      </c>
      <c r="C9" s="5" t="s">
        <v>25</v>
      </c>
      <c r="D9" s="5" t="s">
        <v>26</v>
      </c>
      <c r="E9" s="5">
        <v>389020.532</v>
      </c>
      <c r="F9" s="5">
        <v>9895701.355</v>
      </c>
      <c r="G9" s="5">
        <v>-0.9434777855284895</v>
      </c>
      <c r="H9" s="5">
        <v>134.00257190604285</v>
      </c>
      <c r="I9" s="5" t="s">
        <v>168</v>
      </c>
      <c r="J9" s="5">
        <v>3.0</v>
      </c>
      <c r="K9" s="5">
        <v>392.553</v>
      </c>
      <c r="L9" s="5">
        <v>9.97</v>
      </c>
      <c r="M9" s="5" t="s">
        <v>175</v>
      </c>
      <c r="N9" s="5">
        <v>13.79</v>
      </c>
      <c r="O9" s="5">
        <v>1.0</v>
      </c>
      <c r="P9" s="5">
        <v>735.0</v>
      </c>
      <c r="Q9" s="5">
        <v>8.0</v>
      </c>
      <c r="R9" s="5">
        <v>0.0</v>
      </c>
      <c r="S9" s="5">
        <v>0.0</v>
      </c>
      <c r="T9" s="5">
        <v>3.9509999999999996</v>
      </c>
    </row>
    <row r="10" ht="12.0" customHeight="1">
      <c r="A10" s="5" t="s">
        <v>52</v>
      </c>
      <c r="B10" s="5" t="s">
        <v>136</v>
      </c>
      <c r="C10" s="5" t="s">
        <v>25</v>
      </c>
      <c r="D10" s="5" t="s">
        <v>26</v>
      </c>
      <c r="E10" s="5">
        <v>388759.173</v>
      </c>
      <c r="F10" s="5">
        <v>9895546.512</v>
      </c>
      <c r="G10" s="5">
        <v>-0.9448778016282399</v>
      </c>
      <c r="H10" s="5">
        <v>134.0002227813792</v>
      </c>
      <c r="I10" s="5" t="s">
        <v>27</v>
      </c>
      <c r="J10" s="5">
        <v>1.0</v>
      </c>
      <c r="K10" s="5">
        <v>303.757</v>
      </c>
      <c r="L10" s="5">
        <v>22.08</v>
      </c>
      <c r="M10" s="5" t="s">
        <v>175</v>
      </c>
      <c r="N10" s="5">
        <v>46.14</v>
      </c>
      <c r="O10" s="5">
        <v>1.0</v>
      </c>
      <c r="P10" s="5">
        <v>435.0</v>
      </c>
      <c r="Q10" s="5">
        <v>0.0</v>
      </c>
      <c r="R10" s="5">
        <v>0.0</v>
      </c>
      <c r="S10" s="5">
        <v>1.0</v>
      </c>
      <c r="T10" s="5">
        <v>4.789</v>
      </c>
    </row>
    <row r="11" ht="12.0" customHeight="1">
      <c r="A11" s="5" t="s">
        <v>55</v>
      </c>
      <c r="B11" s="5" t="s">
        <v>136</v>
      </c>
      <c r="C11" s="5" t="s">
        <v>25</v>
      </c>
      <c r="D11" s="5" t="s">
        <v>26</v>
      </c>
      <c r="E11" s="5">
        <v>388508.463</v>
      </c>
      <c r="F11" s="5">
        <v>9895397.884</v>
      </c>
      <c r="G11" s="5">
        <v>-0.9462216216839158</v>
      </c>
      <c r="H11" s="5">
        <v>133.9979693701692</v>
      </c>
      <c r="I11" s="5" t="s">
        <v>232</v>
      </c>
      <c r="J11" s="5">
        <v>1.0</v>
      </c>
      <c r="K11" s="5">
        <v>291.45</v>
      </c>
      <c r="L11" s="5">
        <v>16.5</v>
      </c>
      <c r="M11" s="5" t="s">
        <v>175</v>
      </c>
      <c r="N11" s="5">
        <v>165.0</v>
      </c>
      <c r="O11" s="5">
        <v>1.0</v>
      </c>
      <c r="P11" s="5">
        <v>153.0</v>
      </c>
      <c r="Q11" s="5">
        <v>4.0</v>
      </c>
      <c r="R11" s="5">
        <v>0.0</v>
      </c>
      <c r="S11" s="5">
        <v>1.0</v>
      </c>
      <c r="T11" s="5">
        <v>4.856</v>
      </c>
    </row>
    <row r="12" ht="12.0" customHeight="1">
      <c r="A12" s="5" t="s">
        <v>58</v>
      </c>
      <c r="B12" s="5" t="s">
        <v>136</v>
      </c>
      <c r="C12" s="5" t="s">
        <v>25</v>
      </c>
      <c r="D12" s="5" t="s">
        <v>26</v>
      </c>
      <c r="E12" s="5">
        <v>388253.886</v>
      </c>
      <c r="F12" s="5">
        <v>9895253.344</v>
      </c>
      <c r="G12" s="5">
        <v>-0.947528448657148</v>
      </c>
      <c r="H12" s="5">
        <v>133.9956812177885</v>
      </c>
      <c r="I12" s="5" t="s">
        <v>232</v>
      </c>
      <c r="J12" s="5">
        <v>1.0</v>
      </c>
      <c r="K12" s="5">
        <v>292.746</v>
      </c>
      <c r="L12" s="5">
        <v>19.72</v>
      </c>
      <c r="M12" s="5" t="s">
        <v>132</v>
      </c>
      <c r="N12" s="5">
        <v>90.0</v>
      </c>
      <c r="O12" s="5">
        <v>2.0</v>
      </c>
      <c r="P12" s="5">
        <v>75.05</v>
      </c>
      <c r="Q12" s="5">
        <v>4.0</v>
      </c>
      <c r="R12" s="5">
        <v>2.0</v>
      </c>
      <c r="S12" s="5">
        <v>1.0</v>
      </c>
      <c r="T12" s="5">
        <v>3.854</v>
      </c>
    </row>
    <row r="13" ht="12.0" customHeight="1">
      <c r="A13" s="5" t="s">
        <v>61</v>
      </c>
      <c r="B13" s="5" t="s">
        <v>244</v>
      </c>
      <c r="C13" s="5" t="s">
        <v>25</v>
      </c>
      <c r="D13" s="5" t="s">
        <v>26</v>
      </c>
      <c r="E13" s="5">
        <v>388133.137</v>
      </c>
      <c r="F13" s="5">
        <v>9895003.639</v>
      </c>
      <c r="G13" s="5">
        <v>-0.9497869349328288</v>
      </c>
      <c r="H13" s="5">
        <v>133.99459544562265</v>
      </c>
      <c r="I13" s="5" t="s">
        <v>232</v>
      </c>
      <c r="J13" s="5">
        <v>1.0</v>
      </c>
      <c r="K13" s="5">
        <v>276.847</v>
      </c>
      <c r="L13" s="5">
        <v>18.73</v>
      </c>
      <c r="M13" s="5" t="s">
        <v>272</v>
      </c>
      <c r="N13" s="5">
        <v>48.99</v>
      </c>
      <c r="O13" s="5">
        <v>2.0</v>
      </c>
      <c r="P13" s="5">
        <v>35.62</v>
      </c>
      <c r="Q13" s="5">
        <v>4.0</v>
      </c>
      <c r="R13" s="5">
        <v>5.0</v>
      </c>
      <c r="S13" s="5">
        <v>1.0</v>
      </c>
      <c r="T13" s="5">
        <v>3.474</v>
      </c>
    </row>
    <row r="14" ht="12.0" customHeight="1">
      <c r="A14" s="5" t="s">
        <v>64</v>
      </c>
      <c r="B14" s="5" t="s">
        <v>244</v>
      </c>
      <c r="C14" s="5" t="s">
        <v>25</v>
      </c>
      <c r="D14" s="5" t="s">
        <v>26</v>
      </c>
      <c r="E14" s="5">
        <v>388421.411</v>
      </c>
      <c r="F14" s="5">
        <v>9894740.272</v>
      </c>
      <c r="G14" s="5">
        <v>-0.9521700824066085</v>
      </c>
      <c r="H14" s="5">
        <v>133.99718535674884</v>
      </c>
      <c r="I14" s="5" t="s">
        <v>123</v>
      </c>
      <c r="J14" s="5">
        <v>3.0</v>
      </c>
      <c r="K14" s="5">
        <v>390.764</v>
      </c>
      <c r="L14" s="5">
        <v>18.06</v>
      </c>
      <c r="M14" s="5" t="s">
        <v>175</v>
      </c>
      <c r="N14" s="5">
        <v>32.25</v>
      </c>
      <c r="O14" s="5">
        <v>1.0</v>
      </c>
      <c r="P14" s="5">
        <v>29.55</v>
      </c>
      <c r="Q14" s="5">
        <v>13.0</v>
      </c>
      <c r="R14" s="5">
        <v>0.0</v>
      </c>
      <c r="S14" s="5">
        <v>0.0</v>
      </c>
      <c r="T14" s="5">
        <v>3.9149999999999996</v>
      </c>
    </row>
    <row r="15" ht="12.0" customHeight="1">
      <c r="A15" s="5" t="s">
        <v>67</v>
      </c>
      <c r="B15" s="5" t="s">
        <v>24</v>
      </c>
      <c r="C15" s="5" t="s">
        <v>25</v>
      </c>
      <c r="D15" s="5" t="s">
        <v>26</v>
      </c>
      <c r="E15" s="5">
        <v>388729.484</v>
      </c>
      <c r="F15" s="5">
        <v>9894471.967</v>
      </c>
      <c r="G15" s="5">
        <v>-0.9545979524318333</v>
      </c>
      <c r="H15" s="5">
        <v>133.99995318471878</v>
      </c>
      <c r="I15" s="5" t="s">
        <v>123</v>
      </c>
      <c r="J15" s="5">
        <v>3.0</v>
      </c>
      <c r="K15" s="5">
        <v>408.53</v>
      </c>
      <c r="L15" s="5">
        <v>16.77</v>
      </c>
      <c r="M15" s="5" t="s">
        <v>132</v>
      </c>
      <c r="N15" s="5">
        <v>10.23</v>
      </c>
      <c r="O15" s="5">
        <v>2.0</v>
      </c>
      <c r="P15" s="5">
        <v>108.0</v>
      </c>
      <c r="Q15" s="5">
        <v>13.0</v>
      </c>
      <c r="R15" s="5">
        <v>2.0</v>
      </c>
      <c r="S15" s="5">
        <v>0.0</v>
      </c>
      <c r="T15" s="5">
        <v>2.913</v>
      </c>
    </row>
    <row r="16" ht="12.0" customHeight="1">
      <c r="A16" s="5" t="s">
        <v>70</v>
      </c>
      <c r="B16" s="5" t="s">
        <v>24</v>
      </c>
      <c r="C16" s="5" t="s">
        <v>25</v>
      </c>
      <c r="D16" s="5" t="s">
        <v>26</v>
      </c>
      <c r="E16" s="5">
        <v>388862.651</v>
      </c>
      <c r="F16" s="5">
        <v>9894186.478</v>
      </c>
      <c r="G16" s="5">
        <v>-0.9571808087387073</v>
      </c>
      <c r="H16" s="5">
        <v>134.00114915838333</v>
      </c>
      <c r="I16" s="5" t="s">
        <v>123</v>
      </c>
      <c r="J16" s="5">
        <v>3.0</v>
      </c>
      <c r="K16" s="5">
        <v>315.062</v>
      </c>
      <c r="L16" s="5">
        <v>24.83</v>
      </c>
      <c r="M16" s="5" t="s">
        <v>109</v>
      </c>
      <c r="N16" s="5">
        <v>17.35</v>
      </c>
      <c r="O16" s="5">
        <v>1.0</v>
      </c>
      <c r="P16" s="5">
        <v>112.0</v>
      </c>
      <c r="Q16" s="5">
        <v>13.0</v>
      </c>
      <c r="R16" s="5">
        <v>1.0</v>
      </c>
      <c r="S16" s="5">
        <v>0.0</v>
      </c>
      <c r="T16" s="5">
        <v>3.8590000000000004</v>
      </c>
    </row>
    <row r="17" ht="12.0" customHeight="1">
      <c r="A17" s="5" t="s">
        <v>73</v>
      </c>
      <c r="B17" s="5" t="s">
        <v>325</v>
      </c>
      <c r="C17" s="5" t="s">
        <v>25</v>
      </c>
      <c r="D17" s="5" t="s">
        <v>26</v>
      </c>
      <c r="E17" s="5">
        <v>388924.689</v>
      </c>
      <c r="F17" s="5">
        <v>9894002.038</v>
      </c>
      <c r="G17" s="5">
        <v>-0.9588493990088214</v>
      </c>
      <c r="H17" s="5">
        <v>134.00170618735652</v>
      </c>
      <c r="I17" s="5" t="s">
        <v>27</v>
      </c>
      <c r="J17" s="5">
        <v>1.0</v>
      </c>
      <c r="K17" s="5">
        <v>194.55</v>
      </c>
      <c r="L17" s="5">
        <v>60.08</v>
      </c>
      <c r="M17" s="5" t="s">
        <v>109</v>
      </c>
      <c r="N17" s="5">
        <v>140.78</v>
      </c>
      <c r="O17" s="5">
        <v>2.0</v>
      </c>
      <c r="P17" s="5">
        <v>310.0</v>
      </c>
      <c r="Q17" s="5">
        <v>0.0</v>
      </c>
      <c r="R17" s="5">
        <v>1.0</v>
      </c>
      <c r="S17" s="5">
        <v>1.0</v>
      </c>
      <c r="T17" s="5">
        <v>3.6820000000000004</v>
      </c>
      <c r="U17" s="53" t="s">
        <v>421</v>
      </c>
      <c r="V17" s="53" t="s">
        <v>422</v>
      </c>
      <c r="W17" s="53" t="s">
        <v>423</v>
      </c>
      <c r="X17" s="54"/>
    </row>
    <row r="18" ht="12.0" customHeight="1">
      <c r="A18" s="5" t="s">
        <v>76</v>
      </c>
      <c r="B18" s="5" t="s">
        <v>325</v>
      </c>
      <c r="C18" s="5" t="s">
        <v>25</v>
      </c>
      <c r="D18" s="5" t="s">
        <v>26</v>
      </c>
      <c r="E18" s="5">
        <v>388919.739</v>
      </c>
      <c r="F18" s="5">
        <v>9893665.934</v>
      </c>
      <c r="G18" s="5">
        <v>-0.9618897509911257</v>
      </c>
      <c r="H18" s="5">
        <v>134.00166082136892</v>
      </c>
      <c r="I18" s="5" t="s">
        <v>27</v>
      </c>
      <c r="J18" s="5">
        <v>1.0</v>
      </c>
      <c r="K18" s="5">
        <v>336.161</v>
      </c>
      <c r="L18" s="5">
        <v>131.9</v>
      </c>
      <c r="M18" s="5" t="s">
        <v>109</v>
      </c>
      <c r="N18" s="5">
        <v>284.32</v>
      </c>
      <c r="O18" s="5">
        <v>2.0</v>
      </c>
      <c r="P18" s="5">
        <v>635.44</v>
      </c>
      <c r="Q18" s="5">
        <v>0.0</v>
      </c>
      <c r="R18" s="5">
        <v>1.0</v>
      </c>
      <c r="S18" s="5">
        <v>1.0</v>
      </c>
      <c r="T18" s="5">
        <v>3.641</v>
      </c>
      <c r="U18" s="55" t="s">
        <v>424</v>
      </c>
      <c r="V18" s="55" t="s">
        <v>425</v>
      </c>
      <c r="W18" s="55" t="s">
        <v>426</v>
      </c>
      <c r="X18" s="56"/>
    </row>
    <row r="19" ht="12.0" customHeight="1">
      <c r="A19" s="56" t="s">
        <v>79</v>
      </c>
      <c r="B19" s="56" t="s">
        <v>325</v>
      </c>
      <c r="C19" s="56" t="s">
        <v>25</v>
      </c>
      <c r="D19" s="56" t="s">
        <v>26</v>
      </c>
      <c r="E19" s="56">
        <v>388920.117</v>
      </c>
      <c r="F19" s="56">
        <v>9893410.859</v>
      </c>
      <c r="G19" s="56">
        <v>-0.9641971363156717</v>
      </c>
      <c r="H19" s="56">
        <v>134.00166354693835</v>
      </c>
      <c r="I19" s="56" t="s">
        <v>27</v>
      </c>
      <c r="J19" s="56">
        <v>1.0</v>
      </c>
      <c r="K19" s="56">
        <v>255.059</v>
      </c>
      <c r="L19" s="56">
        <v>150.26</v>
      </c>
      <c r="M19" s="56" t="s">
        <v>132</v>
      </c>
      <c r="N19" s="56">
        <v>400.31</v>
      </c>
      <c r="O19" s="56">
        <v>3.0</v>
      </c>
      <c r="P19" s="56">
        <v>883.78</v>
      </c>
      <c r="Q19" s="56">
        <v>0.0</v>
      </c>
      <c r="R19" s="56">
        <v>2.0</v>
      </c>
      <c r="S19" s="56">
        <v>1.0</v>
      </c>
      <c r="T19" s="5">
        <v>2.896</v>
      </c>
      <c r="U19" s="55" t="s">
        <v>428</v>
      </c>
      <c r="V19" s="55" t="s">
        <v>429</v>
      </c>
      <c r="W19" s="55" t="s">
        <v>430</v>
      </c>
      <c r="X19" s="56"/>
    </row>
    <row r="20" ht="12.0" customHeight="1">
      <c r="A20" s="56" t="s">
        <v>82</v>
      </c>
      <c r="B20" s="56" t="s">
        <v>325</v>
      </c>
      <c r="C20" s="56" t="s">
        <v>25</v>
      </c>
      <c r="D20" s="56" t="s">
        <v>26</v>
      </c>
      <c r="E20" s="56">
        <v>388856.204</v>
      </c>
      <c r="F20" s="56">
        <v>9892963.003</v>
      </c>
      <c r="G20" s="56">
        <v>-0.9682482289570863</v>
      </c>
      <c r="H20" s="56">
        <v>134.00108800062097</v>
      </c>
      <c r="I20" s="56" t="s">
        <v>27</v>
      </c>
      <c r="J20" s="56">
        <v>1.0</v>
      </c>
      <c r="K20" s="56">
        <v>452.328</v>
      </c>
      <c r="L20" s="56">
        <v>179.82</v>
      </c>
      <c r="M20" s="56" t="s">
        <v>132</v>
      </c>
      <c r="N20" s="56">
        <v>1095.0</v>
      </c>
      <c r="O20" s="56">
        <v>3.0</v>
      </c>
      <c r="P20" s="56">
        <v>1511.0</v>
      </c>
      <c r="Q20" s="56">
        <v>0.0</v>
      </c>
      <c r="R20" s="56">
        <v>2.0</v>
      </c>
      <c r="S20" s="56">
        <v>1.0</v>
      </c>
      <c r="T20" s="57">
        <v>2.4030000000000005</v>
      </c>
      <c r="U20" s="55" t="s">
        <v>431</v>
      </c>
      <c r="V20" s="55" t="s">
        <v>432</v>
      </c>
      <c r="W20" s="55" t="s">
        <v>433</v>
      </c>
      <c r="X20" s="56"/>
    </row>
    <row r="21" ht="12.0" customHeight="1">
      <c r="A21" s="56" t="s">
        <v>86</v>
      </c>
      <c r="B21" s="56" t="s">
        <v>325</v>
      </c>
      <c r="C21" s="56" t="s">
        <v>25</v>
      </c>
      <c r="D21" s="56" t="s">
        <v>26</v>
      </c>
      <c r="E21" s="56">
        <v>388737.014</v>
      </c>
      <c r="F21" s="56">
        <v>9892762.224</v>
      </c>
      <c r="G21" s="56">
        <v>-0.9700641379719624</v>
      </c>
      <c r="H21" s="56">
        <v>134.0000163496213</v>
      </c>
      <c r="I21" s="56" t="s">
        <v>27</v>
      </c>
      <c r="J21" s="56">
        <v>1.0</v>
      </c>
      <c r="K21" s="56">
        <v>233.568</v>
      </c>
      <c r="L21" s="56">
        <v>175.16</v>
      </c>
      <c r="M21" s="56" t="s">
        <v>109</v>
      </c>
      <c r="N21" s="56">
        <v>1055.0</v>
      </c>
      <c r="O21" s="56">
        <v>3.0</v>
      </c>
      <c r="P21" s="56">
        <v>1524.0</v>
      </c>
      <c r="Q21" s="56">
        <v>0.0</v>
      </c>
      <c r="R21" s="56">
        <v>1.0</v>
      </c>
      <c r="S21" s="56">
        <v>1.0</v>
      </c>
      <c r="T21" s="5">
        <v>2.7940000000000005</v>
      </c>
      <c r="U21" s="55" t="s">
        <v>329</v>
      </c>
      <c r="V21" s="55" t="s">
        <v>434</v>
      </c>
      <c r="W21" s="55" t="s">
        <v>435</v>
      </c>
      <c r="X21" s="56"/>
    </row>
    <row r="22" ht="12.0" customHeight="1">
      <c r="A22" s="5" t="s">
        <v>89</v>
      </c>
      <c r="B22" s="5" t="s">
        <v>325</v>
      </c>
      <c r="C22" s="5" t="s">
        <v>25</v>
      </c>
      <c r="D22" s="5" t="s">
        <v>26</v>
      </c>
      <c r="E22" s="5">
        <v>388527.547</v>
      </c>
      <c r="F22" s="5">
        <v>9892447.287</v>
      </c>
      <c r="G22" s="5">
        <v>-0.9729124645944208</v>
      </c>
      <c r="H22" s="5">
        <v>133.99813310459092</v>
      </c>
      <c r="I22" s="5" t="s">
        <v>27</v>
      </c>
      <c r="J22" s="5">
        <v>1.0</v>
      </c>
      <c r="K22" s="5">
        <v>378.193</v>
      </c>
      <c r="L22" s="5">
        <v>113.14</v>
      </c>
      <c r="M22" s="5" t="s">
        <v>109</v>
      </c>
      <c r="N22" s="5">
        <v>1350.0</v>
      </c>
      <c r="O22" s="5">
        <v>3.0</v>
      </c>
      <c r="P22" s="5">
        <v>1842.0</v>
      </c>
      <c r="Q22" s="5">
        <v>0.0</v>
      </c>
      <c r="R22" s="5">
        <v>1.0</v>
      </c>
      <c r="S22" s="5">
        <v>1.0</v>
      </c>
      <c r="T22" s="5">
        <v>2.838</v>
      </c>
      <c r="U22" s="55" t="s">
        <v>436</v>
      </c>
      <c r="V22" s="55" t="s">
        <v>438</v>
      </c>
      <c r="W22" s="55" t="s">
        <v>439</v>
      </c>
      <c r="X22" s="56"/>
    </row>
    <row r="23" ht="12.0" customHeight="1">
      <c r="A23" s="56" t="s">
        <v>92</v>
      </c>
      <c r="B23" s="56" t="s">
        <v>325</v>
      </c>
      <c r="C23" s="56" t="s">
        <v>25</v>
      </c>
      <c r="D23" s="56" t="s">
        <v>26</v>
      </c>
      <c r="E23" s="56">
        <v>388363.963</v>
      </c>
      <c r="F23" s="56">
        <v>9892195.814</v>
      </c>
      <c r="G23" s="56">
        <v>-0.9751868222095926</v>
      </c>
      <c r="H23" s="56">
        <v>133.9966623597343</v>
      </c>
      <c r="I23" s="56" t="s">
        <v>27</v>
      </c>
      <c r="J23" s="56">
        <v>1.0</v>
      </c>
      <c r="K23" s="56">
        <v>300.0</v>
      </c>
      <c r="L23" s="56">
        <v>76.49</v>
      </c>
      <c r="M23" s="56" t="s">
        <v>109</v>
      </c>
      <c r="N23" s="56">
        <v>1220.0</v>
      </c>
      <c r="O23" s="56">
        <v>3.0</v>
      </c>
      <c r="P23" s="56">
        <v>2117.0</v>
      </c>
      <c r="Q23" s="56">
        <v>0.0</v>
      </c>
      <c r="R23" s="56">
        <v>1.0</v>
      </c>
      <c r="S23" s="56">
        <v>1.0</v>
      </c>
      <c r="T23" s="5">
        <v>3.0660000000000007</v>
      </c>
      <c r="U23" s="55" t="s">
        <v>441</v>
      </c>
      <c r="V23" s="55" t="s">
        <v>442</v>
      </c>
      <c r="W23" s="55" t="s">
        <v>443</v>
      </c>
      <c r="X23" s="56"/>
    </row>
    <row r="24" ht="13.5" customHeight="1">
      <c r="A24" s="5" t="s">
        <v>95</v>
      </c>
      <c r="B24" s="5" t="s">
        <v>325</v>
      </c>
      <c r="C24" s="5" t="s">
        <v>25</v>
      </c>
      <c r="D24" s="5" t="s">
        <v>26</v>
      </c>
      <c r="E24" s="5">
        <v>388193.159</v>
      </c>
      <c r="F24" s="5">
        <v>9891933.258</v>
      </c>
      <c r="G24" s="5">
        <v>-0.9775614131073307</v>
      </c>
      <c r="H24" s="5">
        <v>133.99512669854386</v>
      </c>
      <c r="I24" s="5" t="s">
        <v>27</v>
      </c>
      <c r="J24" s="5">
        <v>1.0</v>
      </c>
      <c r="K24" s="5">
        <v>313.251</v>
      </c>
      <c r="L24" s="5">
        <v>57.53</v>
      </c>
      <c r="M24" s="5" t="s">
        <v>175</v>
      </c>
      <c r="N24" s="5">
        <v>925.0</v>
      </c>
      <c r="O24" s="5">
        <v>1.0</v>
      </c>
      <c r="P24" s="5">
        <v>2430.0</v>
      </c>
      <c r="Q24" s="5">
        <v>0.0</v>
      </c>
      <c r="R24" s="5">
        <v>0.0</v>
      </c>
      <c r="S24" s="5">
        <v>1.0</v>
      </c>
      <c r="T24" s="5">
        <v>4.586000000000001</v>
      </c>
    </row>
    <row r="25" ht="12.0" customHeight="1">
      <c r="A25" s="5" t="s">
        <v>98</v>
      </c>
      <c r="B25" s="5" t="s">
        <v>325</v>
      </c>
      <c r="C25" s="5" t="s">
        <v>25</v>
      </c>
      <c r="D25" s="5" t="s">
        <v>26</v>
      </c>
      <c r="E25" s="5">
        <v>388034.083</v>
      </c>
      <c r="F25" s="5">
        <v>9891688.689</v>
      </c>
      <c r="G25" s="5">
        <v>-0.9797733246033568</v>
      </c>
      <c r="H25" s="5">
        <v>133.99369647828138</v>
      </c>
      <c r="I25" s="5" t="s">
        <v>27</v>
      </c>
      <c r="J25" s="5">
        <v>1.0</v>
      </c>
      <c r="K25" s="5">
        <v>291.7</v>
      </c>
      <c r="L25" s="5">
        <v>70.66</v>
      </c>
      <c r="M25" s="5" t="s">
        <v>132</v>
      </c>
      <c r="N25" s="5">
        <v>675.0</v>
      </c>
      <c r="O25" s="5">
        <v>3.0</v>
      </c>
      <c r="P25" s="5">
        <v>2695.0</v>
      </c>
      <c r="Q25" s="5">
        <v>0.0</v>
      </c>
      <c r="R25" s="5">
        <v>2.0</v>
      </c>
      <c r="S25" s="5">
        <v>1.0</v>
      </c>
      <c r="T25" s="5">
        <v>3.0789999999999997</v>
      </c>
    </row>
    <row r="26" ht="12.0" customHeight="1">
      <c r="A26" s="56" t="s">
        <v>101</v>
      </c>
      <c r="B26" s="56" t="s">
        <v>325</v>
      </c>
      <c r="C26" s="56" t="s">
        <v>25</v>
      </c>
      <c r="D26" s="56" t="s">
        <v>26</v>
      </c>
      <c r="E26" s="56">
        <v>387708.669</v>
      </c>
      <c r="F26" s="56">
        <v>9891464.127</v>
      </c>
      <c r="G26" s="56">
        <v>-0.9818037987658081</v>
      </c>
      <c r="H26" s="56">
        <v>133.9907714869864</v>
      </c>
      <c r="I26" s="56" t="s">
        <v>27</v>
      </c>
      <c r="J26" s="56">
        <v>1.0</v>
      </c>
      <c r="K26" s="56">
        <v>395.363</v>
      </c>
      <c r="L26" s="56">
        <v>215.89</v>
      </c>
      <c r="M26" s="56" t="s">
        <v>132</v>
      </c>
      <c r="N26" s="56">
        <v>309.94</v>
      </c>
      <c r="O26" s="56">
        <v>3.0</v>
      </c>
      <c r="P26" s="56">
        <v>3021.79</v>
      </c>
      <c r="Q26" s="56">
        <v>0.0</v>
      </c>
      <c r="R26" s="56">
        <v>2.0</v>
      </c>
      <c r="S26" s="56">
        <v>1.0</v>
      </c>
      <c r="T26" s="5">
        <v>2.606</v>
      </c>
      <c r="U26" s="56"/>
      <c r="V26" s="56"/>
      <c r="W26" s="56"/>
      <c r="X26" s="56"/>
    </row>
    <row r="27" ht="12.0" customHeight="1">
      <c r="A27" s="5" t="s">
        <v>104</v>
      </c>
      <c r="B27" s="5" t="s">
        <v>325</v>
      </c>
      <c r="C27" s="5" t="s">
        <v>25</v>
      </c>
      <c r="D27" s="5" t="s">
        <v>26</v>
      </c>
      <c r="E27" s="5">
        <v>387516.535</v>
      </c>
      <c r="F27" s="5">
        <v>9891408.725</v>
      </c>
      <c r="G27" s="5">
        <v>-0.9823044329396564</v>
      </c>
      <c r="H27" s="5">
        <v>133.98904469497813</v>
      </c>
      <c r="I27" s="5" t="s">
        <v>27</v>
      </c>
      <c r="J27" s="5">
        <v>1.0</v>
      </c>
      <c r="K27" s="5">
        <v>200.038</v>
      </c>
      <c r="L27" s="5">
        <v>253.96</v>
      </c>
      <c r="M27" s="5" t="s">
        <v>109</v>
      </c>
      <c r="N27" s="5">
        <v>108.4</v>
      </c>
      <c r="O27" s="5">
        <v>2.0</v>
      </c>
      <c r="P27" s="5">
        <v>2885.81</v>
      </c>
      <c r="Q27" s="5">
        <v>0.0</v>
      </c>
      <c r="R27" s="5">
        <v>1.0</v>
      </c>
      <c r="S27" s="5">
        <v>1.0</v>
      </c>
      <c r="T27" s="5">
        <v>3.3740000000000006</v>
      </c>
    </row>
    <row r="28" ht="12.0" customHeight="1">
      <c r="A28" s="5" t="s">
        <v>107</v>
      </c>
      <c r="B28" s="5" t="s">
        <v>413</v>
      </c>
      <c r="C28" s="5" t="s">
        <v>25</v>
      </c>
      <c r="D28" s="5" t="s">
        <v>26</v>
      </c>
      <c r="E28" s="5">
        <v>387276.316</v>
      </c>
      <c r="F28" s="5">
        <v>9891339.463</v>
      </c>
      <c r="G28" s="5">
        <v>-0.9829303094321155</v>
      </c>
      <c r="H28" s="5">
        <v>133.98688574259864</v>
      </c>
      <c r="I28" s="5" t="s">
        <v>27</v>
      </c>
      <c r="J28" s="5">
        <v>1.0</v>
      </c>
      <c r="K28" s="5">
        <v>249.995</v>
      </c>
      <c r="L28" s="5">
        <v>231.93</v>
      </c>
      <c r="M28" s="5" t="s">
        <v>109</v>
      </c>
      <c r="N28" s="5">
        <v>130.79</v>
      </c>
      <c r="O28" s="5">
        <v>2.0</v>
      </c>
      <c r="P28" s="5">
        <v>2576.63</v>
      </c>
      <c r="Q28" s="5">
        <v>0.0</v>
      </c>
      <c r="R28" s="5">
        <v>1.0</v>
      </c>
      <c r="S28" s="5">
        <v>1.0</v>
      </c>
      <c r="T28" s="5">
        <v>3.508</v>
      </c>
    </row>
    <row r="29" ht="12.0" customHeight="1">
      <c r="A29" s="5" t="s">
        <v>111</v>
      </c>
      <c r="B29" s="5" t="s">
        <v>413</v>
      </c>
      <c r="C29" s="5" t="s">
        <v>25</v>
      </c>
      <c r="D29" s="5" t="s">
        <v>26</v>
      </c>
      <c r="E29" s="5">
        <v>387035.784</v>
      </c>
      <c r="F29" s="5">
        <v>9891270.353</v>
      </c>
      <c r="G29" s="5">
        <v>-0.9835548078460229</v>
      </c>
      <c r="H29" s="5">
        <v>133.9847239783393</v>
      </c>
      <c r="I29" s="5" t="s">
        <v>27</v>
      </c>
      <c r="J29" s="5">
        <v>1.0</v>
      </c>
      <c r="K29" s="5">
        <v>250.011</v>
      </c>
      <c r="L29" s="5">
        <v>228.73</v>
      </c>
      <c r="M29" s="5" t="s">
        <v>109</v>
      </c>
      <c r="N29" s="5">
        <v>369.11</v>
      </c>
      <c r="O29" s="5">
        <v>2.0</v>
      </c>
      <c r="P29" s="5">
        <v>2327.12</v>
      </c>
      <c r="Q29" s="5">
        <v>0.0</v>
      </c>
      <c r="R29" s="5">
        <v>1.0</v>
      </c>
      <c r="S29" s="5">
        <v>1.0</v>
      </c>
      <c r="T29" s="5">
        <v>3.458</v>
      </c>
    </row>
    <row r="30" ht="12.0" customHeight="1">
      <c r="A30" s="5" t="s">
        <v>114</v>
      </c>
      <c r="B30" s="5" t="s">
        <v>413</v>
      </c>
      <c r="C30" s="5" t="s">
        <v>418</v>
      </c>
      <c r="D30" s="5" t="s">
        <v>26</v>
      </c>
      <c r="E30" s="5">
        <v>386661.472</v>
      </c>
      <c r="F30" s="5">
        <v>9891241.077</v>
      </c>
      <c r="G30" s="5">
        <v>-0.9838186023510439</v>
      </c>
      <c r="H30" s="5">
        <v>133.98136009171273</v>
      </c>
      <c r="I30" s="5" t="s">
        <v>27</v>
      </c>
      <c r="J30" s="5">
        <v>1.0</v>
      </c>
      <c r="K30" s="5">
        <v>375.412</v>
      </c>
      <c r="L30" s="5">
        <v>200.58</v>
      </c>
      <c r="M30" s="5" t="s">
        <v>132</v>
      </c>
      <c r="N30" s="5">
        <v>603.2</v>
      </c>
      <c r="O30" s="5">
        <v>3.0</v>
      </c>
      <c r="P30" s="5">
        <v>1951.0</v>
      </c>
      <c r="Q30" s="5">
        <v>0.0</v>
      </c>
      <c r="R30" s="5">
        <v>2.0</v>
      </c>
      <c r="S30" s="5">
        <v>1.0</v>
      </c>
      <c r="T30" s="5">
        <v>2.5870000000000006</v>
      </c>
    </row>
    <row r="31" ht="12.0" customHeight="1">
      <c r="A31" s="5" t="s">
        <v>117</v>
      </c>
      <c r="B31" s="5" t="s">
        <v>413</v>
      </c>
      <c r="C31" s="5" t="s">
        <v>418</v>
      </c>
      <c r="D31" s="5" t="s">
        <v>26</v>
      </c>
      <c r="E31" s="5">
        <v>386433.937</v>
      </c>
      <c r="F31" s="5">
        <v>9891390.596</v>
      </c>
      <c r="G31" s="5">
        <v>-0.9824654481422546</v>
      </c>
      <c r="H31" s="5">
        <v>133.97931572943128</v>
      </c>
      <c r="I31" s="5" t="s">
        <v>27</v>
      </c>
      <c r="J31" s="5">
        <v>1.0</v>
      </c>
      <c r="K31" s="5">
        <v>272.52</v>
      </c>
      <c r="L31" s="5">
        <v>196.4</v>
      </c>
      <c r="M31" s="5" t="s">
        <v>175</v>
      </c>
      <c r="N31" s="5">
        <v>494.0</v>
      </c>
      <c r="O31" s="5">
        <v>1.0</v>
      </c>
      <c r="P31" s="5">
        <v>1787.84</v>
      </c>
      <c r="Q31" s="5">
        <v>0.0</v>
      </c>
      <c r="R31" s="5">
        <v>0.0</v>
      </c>
      <c r="S31" s="5">
        <v>1.0</v>
      </c>
      <c r="T31" s="5">
        <v>4.395000000000001</v>
      </c>
    </row>
    <row r="32" ht="12.0" customHeight="1">
      <c r="A32" s="5" t="s">
        <v>121</v>
      </c>
      <c r="B32" s="5" t="s">
        <v>413</v>
      </c>
      <c r="C32" s="5" t="s">
        <v>418</v>
      </c>
      <c r="D32" s="5" t="s">
        <v>26</v>
      </c>
      <c r="E32" s="5">
        <v>386140.015</v>
      </c>
      <c r="F32" s="5">
        <v>9891583.594</v>
      </c>
      <c r="G32" s="5">
        <v>-0.9807188069427193</v>
      </c>
      <c r="H32" s="5">
        <v>133.9766748946705</v>
      </c>
      <c r="I32" s="5" t="s">
        <v>27</v>
      </c>
      <c r="J32" s="5">
        <v>1.0</v>
      </c>
      <c r="K32" s="5">
        <v>352.029</v>
      </c>
      <c r="L32" s="5">
        <v>194.63</v>
      </c>
      <c r="M32" s="5" t="s">
        <v>175</v>
      </c>
      <c r="N32" s="5">
        <v>392.48</v>
      </c>
      <c r="O32" s="5">
        <v>1.0</v>
      </c>
      <c r="P32" s="5">
        <v>1475.7</v>
      </c>
      <c r="Q32" s="5">
        <v>0.0</v>
      </c>
      <c r="R32" s="5">
        <v>0.0</v>
      </c>
      <c r="S32" s="5">
        <v>1.0</v>
      </c>
      <c r="T32" s="5">
        <v>4.261000000000001</v>
      </c>
    </row>
    <row r="33" ht="12.0" customHeight="1">
      <c r="A33" s="5" t="s">
        <v>126</v>
      </c>
      <c r="B33" s="5" t="s">
        <v>413</v>
      </c>
      <c r="C33" s="5" t="s">
        <v>418</v>
      </c>
      <c r="D33" s="5" t="s">
        <v>26</v>
      </c>
      <c r="E33" s="5">
        <v>385837.047</v>
      </c>
      <c r="F33" s="5">
        <v>9891782.131</v>
      </c>
      <c r="G33" s="5">
        <v>-0.978922036649253</v>
      </c>
      <c r="H33" s="5">
        <v>133.97395278633982</v>
      </c>
      <c r="I33" s="5" t="s">
        <v>27</v>
      </c>
      <c r="J33" s="5">
        <v>1.0</v>
      </c>
      <c r="K33" s="5">
        <v>361.774</v>
      </c>
      <c r="L33" s="5">
        <v>196.3</v>
      </c>
      <c r="M33" s="5" t="s">
        <v>175</v>
      </c>
      <c r="N33" s="5">
        <v>394.99</v>
      </c>
      <c r="O33" s="5">
        <v>1.0</v>
      </c>
      <c r="P33" s="5">
        <v>1343.0</v>
      </c>
      <c r="Q33" s="5">
        <v>0.0</v>
      </c>
      <c r="R33" s="5">
        <v>0.0</v>
      </c>
      <c r="S33" s="5">
        <v>1.0</v>
      </c>
      <c r="T33" s="5">
        <v>4.261000000000001</v>
      </c>
    </row>
    <row r="34" ht="12.0" customHeight="1">
      <c r="A34" s="5" t="s">
        <v>129</v>
      </c>
      <c r="B34" s="5" t="s">
        <v>413</v>
      </c>
      <c r="C34" s="5" t="s">
        <v>418</v>
      </c>
      <c r="D34" s="5" t="s">
        <v>26</v>
      </c>
      <c r="E34" s="5">
        <v>385534.14</v>
      </c>
      <c r="F34" s="5">
        <v>9891980.859</v>
      </c>
      <c r="G34" s="5">
        <v>-0.9771235396069261</v>
      </c>
      <c r="H34" s="5">
        <v>133.971231230944</v>
      </c>
      <c r="I34" s="5" t="s">
        <v>27</v>
      </c>
      <c r="J34" s="5">
        <v>1.0</v>
      </c>
      <c r="K34" s="5">
        <v>362.32</v>
      </c>
      <c r="L34" s="5">
        <v>172.45</v>
      </c>
      <c r="M34" s="5" t="s">
        <v>175</v>
      </c>
      <c r="N34" s="5">
        <v>571.0</v>
      </c>
      <c r="O34" s="5">
        <v>1.0</v>
      </c>
      <c r="P34" s="5">
        <v>1113.0</v>
      </c>
      <c r="Q34" s="5">
        <v>0.0</v>
      </c>
      <c r="R34" s="5">
        <v>0.0</v>
      </c>
      <c r="S34" s="5">
        <v>1.0</v>
      </c>
      <c r="T34" s="5">
        <v>4.175000000000001</v>
      </c>
    </row>
    <row r="35" ht="12.0" customHeight="1">
      <c r="A35" s="5" t="s">
        <v>134</v>
      </c>
      <c r="B35" s="5" t="s">
        <v>413</v>
      </c>
      <c r="C35" s="5" t="s">
        <v>418</v>
      </c>
      <c r="D35" s="5" t="s">
        <v>26</v>
      </c>
      <c r="E35" s="5">
        <v>385205.807</v>
      </c>
      <c r="F35" s="5">
        <v>9892196.17</v>
      </c>
      <c r="G35" s="5">
        <v>-0.975174966237095</v>
      </c>
      <c r="H35" s="5">
        <v>133.9682812328115</v>
      </c>
      <c r="I35" s="5" t="s">
        <v>446</v>
      </c>
      <c r="J35" s="5">
        <v>2.0</v>
      </c>
      <c r="K35" s="5">
        <v>392.412</v>
      </c>
      <c r="L35" s="5">
        <v>167.21</v>
      </c>
      <c r="M35" s="5" t="s">
        <v>175</v>
      </c>
      <c r="N35" s="5">
        <v>572.0</v>
      </c>
      <c r="O35" s="5">
        <v>1.0</v>
      </c>
      <c r="P35" s="5">
        <v>957.0</v>
      </c>
      <c r="Q35" s="5">
        <v>2.0</v>
      </c>
      <c r="R35" s="5">
        <v>0.0</v>
      </c>
      <c r="S35" s="5">
        <v>1.0</v>
      </c>
      <c r="T35" s="5">
        <v>3.738</v>
      </c>
    </row>
    <row r="36" ht="12.0" customHeight="1">
      <c r="A36" s="5" t="s">
        <v>138</v>
      </c>
      <c r="B36" s="5" t="s">
        <v>413</v>
      </c>
      <c r="C36" s="5" t="s">
        <v>418</v>
      </c>
      <c r="D36" s="5" t="s">
        <v>26</v>
      </c>
      <c r="E36" s="5">
        <v>384936.293</v>
      </c>
      <c r="F36" s="5">
        <v>9892373.168</v>
      </c>
      <c r="G36" s="5">
        <v>-0.9735731289383699</v>
      </c>
      <c r="H36" s="5">
        <v>133.9658597145811</v>
      </c>
      <c r="I36" s="5" t="s">
        <v>27</v>
      </c>
      <c r="J36" s="5">
        <v>1.0</v>
      </c>
      <c r="K36" s="5">
        <v>322.629</v>
      </c>
      <c r="L36" s="5">
        <v>139.42</v>
      </c>
      <c r="M36" s="5" t="s">
        <v>175</v>
      </c>
      <c r="N36" s="5">
        <v>555.05</v>
      </c>
      <c r="O36" s="5">
        <v>1.0</v>
      </c>
      <c r="P36" s="5">
        <v>900.0</v>
      </c>
      <c r="Q36" s="5">
        <v>0.0</v>
      </c>
      <c r="R36" s="5">
        <v>0.0</v>
      </c>
      <c r="S36" s="5">
        <v>1.0</v>
      </c>
      <c r="T36" s="5">
        <v>4.4030000000000005</v>
      </c>
    </row>
    <row r="37" ht="12.0" customHeight="1">
      <c r="A37" s="5" t="s">
        <v>141</v>
      </c>
      <c r="B37" s="5" t="s">
        <v>413</v>
      </c>
      <c r="C37" s="5" t="s">
        <v>418</v>
      </c>
      <c r="D37" s="5" t="s">
        <v>26</v>
      </c>
      <c r="E37" s="5">
        <v>384662.155</v>
      </c>
      <c r="F37" s="5">
        <v>9892552.908</v>
      </c>
      <c r="G37" s="5">
        <v>-0.9719464759201557</v>
      </c>
      <c r="H37" s="5">
        <v>133.96339665344303</v>
      </c>
      <c r="I37" s="5" t="s">
        <v>447</v>
      </c>
      <c r="J37" s="5">
        <v>3.0</v>
      </c>
      <c r="K37" s="5">
        <v>327.858</v>
      </c>
      <c r="L37" s="5">
        <v>130.34</v>
      </c>
      <c r="M37" s="5" t="s">
        <v>175</v>
      </c>
      <c r="N37" s="5">
        <v>555.0</v>
      </c>
      <c r="O37" s="5">
        <v>1.0</v>
      </c>
      <c r="P37" s="5">
        <v>876.0</v>
      </c>
      <c r="Q37" s="5">
        <v>3.0</v>
      </c>
      <c r="R37" s="5">
        <v>0.0</v>
      </c>
      <c r="S37" s="5">
        <v>0.0</v>
      </c>
      <c r="T37" s="5">
        <v>3.663</v>
      </c>
    </row>
    <row r="38" ht="12.0" customHeight="1">
      <c r="A38" s="5" t="s">
        <v>144</v>
      </c>
      <c r="B38" s="5" t="s">
        <v>413</v>
      </c>
      <c r="C38" s="5" t="s">
        <v>418</v>
      </c>
      <c r="D38" s="5" t="s">
        <v>26</v>
      </c>
      <c r="E38" s="5">
        <v>384346.613</v>
      </c>
      <c r="F38" s="5">
        <v>9892759.97</v>
      </c>
      <c r="G38" s="5">
        <v>-0.9700725595264519</v>
      </c>
      <c r="H38" s="5">
        <v>133.96056159251674</v>
      </c>
      <c r="I38" s="5" t="s">
        <v>27</v>
      </c>
      <c r="J38" s="5">
        <v>1.0</v>
      </c>
      <c r="K38" s="5">
        <v>377.261</v>
      </c>
      <c r="L38" s="5">
        <v>134.34</v>
      </c>
      <c r="M38" s="5" t="s">
        <v>175</v>
      </c>
      <c r="N38" s="5">
        <v>533.0</v>
      </c>
      <c r="O38" s="5">
        <v>1.0</v>
      </c>
      <c r="P38" s="5">
        <v>85.0</v>
      </c>
      <c r="Q38" s="5">
        <v>0.0</v>
      </c>
      <c r="R38" s="5">
        <v>0.0</v>
      </c>
      <c r="S38" s="5">
        <v>1.0</v>
      </c>
      <c r="T38" s="5">
        <v>4.3</v>
      </c>
    </row>
    <row r="39" ht="12.0" customHeight="1">
      <c r="A39" s="5" t="s">
        <v>147</v>
      </c>
      <c r="B39" s="5" t="s">
        <v>413</v>
      </c>
      <c r="C39" s="5" t="s">
        <v>418</v>
      </c>
      <c r="D39" s="5" t="s">
        <v>26</v>
      </c>
      <c r="E39" s="5">
        <v>384058.422</v>
      </c>
      <c r="F39" s="5">
        <v>9892948.992</v>
      </c>
      <c r="G39" s="5">
        <v>-0.9683619048811895</v>
      </c>
      <c r="H39" s="5">
        <v>133.9579684844804</v>
      </c>
      <c r="I39" s="5" t="s">
        <v>27</v>
      </c>
      <c r="J39" s="5">
        <v>1.0</v>
      </c>
      <c r="K39" s="5">
        <v>344.73</v>
      </c>
      <c r="L39" s="5">
        <v>137.0</v>
      </c>
      <c r="M39" s="5" t="s">
        <v>175</v>
      </c>
      <c r="N39" s="5">
        <v>145.0</v>
      </c>
      <c r="O39" s="5">
        <v>1.0</v>
      </c>
      <c r="P39" s="5">
        <v>125.0</v>
      </c>
      <c r="Q39" s="5">
        <v>0.0</v>
      </c>
      <c r="R39" s="5">
        <v>0.0</v>
      </c>
      <c r="S39" s="5">
        <v>1.0</v>
      </c>
      <c r="T39" s="5">
        <v>4.4</v>
      </c>
    </row>
    <row r="40" ht="12.0" customHeight="1">
      <c r="A40" s="5" t="s">
        <v>150</v>
      </c>
      <c r="B40" s="5" t="s">
        <v>413</v>
      </c>
      <c r="C40" s="5" t="s">
        <v>418</v>
      </c>
      <c r="D40" s="5" t="s">
        <v>26</v>
      </c>
      <c r="E40" s="5">
        <v>383787.902</v>
      </c>
      <c r="F40" s="5">
        <v>9893126.394</v>
      </c>
      <c r="G40" s="5">
        <v>-0.966756414472994</v>
      </c>
      <c r="H40" s="5">
        <v>133.95554173346665</v>
      </c>
      <c r="I40" s="5" t="s">
        <v>449</v>
      </c>
      <c r="J40" s="5">
        <v>2.0</v>
      </c>
      <c r="K40" s="5">
        <v>323.492</v>
      </c>
      <c r="L40" s="5">
        <v>131.33</v>
      </c>
      <c r="M40" s="5" t="s">
        <v>175</v>
      </c>
      <c r="N40" s="5">
        <v>181.64</v>
      </c>
      <c r="O40" s="5">
        <v>1.0</v>
      </c>
      <c r="P40" s="5">
        <v>165.28</v>
      </c>
      <c r="Q40" s="5">
        <v>1.0</v>
      </c>
      <c r="R40" s="5">
        <v>0.0</v>
      </c>
      <c r="S40" s="5">
        <v>1.0</v>
      </c>
      <c r="T40" s="5">
        <v>4.047000000000001</v>
      </c>
    </row>
    <row r="41" ht="12.0" customHeight="1">
      <c r="A41" s="5" t="s">
        <v>153</v>
      </c>
      <c r="B41" s="5" t="s">
        <v>418</v>
      </c>
      <c r="C41" s="5" t="s">
        <v>418</v>
      </c>
      <c r="D41" s="5" t="s">
        <v>26</v>
      </c>
      <c r="E41" s="5">
        <v>383525.819</v>
      </c>
      <c r="F41" s="5">
        <v>9893298.989</v>
      </c>
      <c r="G41" s="5">
        <v>-0.9651944301204702</v>
      </c>
      <c r="H41" s="5">
        <v>133.95318699933722</v>
      </c>
      <c r="I41" s="5" t="s">
        <v>27</v>
      </c>
      <c r="J41" s="5">
        <v>1.0</v>
      </c>
      <c r="K41" s="5">
        <v>314.682</v>
      </c>
      <c r="L41" s="5">
        <v>137.61</v>
      </c>
      <c r="M41" s="5" t="s">
        <v>132</v>
      </c>
      <c r="N41" s="5">
        <v>291.0</v>
      </c>
      <c r="O41" s="5">
        <v>3.0</v>
      </c>
      <c r="P41" s="5">
        <v>261.68</v>
      </c>
      <c r="Q41" s="5">
        <v>0.0</v>
      </c>
      <c r="R41" s="5">
        <v>2.0</v>
      </c>
      <c r="S41" s="5">
        <v>1.0</v>
      </c>
      <c r="T41" s="5">
        <v>2.793</v>
      </c>
    </row>
    <row r="42" ht="12.0" customHeight="1">
      <c r="A42" s="5" t="s">
        <v>156</v>
      </c>
      <c r="B42" s="5" t="s">
        <v>418</v>
      </c>
      <c r="C42" s="5" t="s">
        <v>418</v>
      </c>
      <c r="D42" s="5" t="s">
        <v>26</v>
      </c>
      <c r="E42" s="5">
        <v>383158.44</v>
      </c>
      <c r="F42" s="5">
        <v>9893326.001</v>
      </c>
      <c r="G42" s="5">
        <v>-0.9649490616024703</v>
      </c>
      <c r="H42" s="5">
        <v>133.94988562313964</v>
      </c>
      <c r="I42" s="5" t="s">
        <v>27</v>
      </c>
      <c r="J42" s="5">
        <v>1.0</v>
      </c>
      <c r="K42" s="5">
        <v>367.347</v>
      </c>
      <c r="L42" s="5">
        <v>121.6</v>
      </c>
      <c r="M42" s="5" t="s">
        <v>175</v>
      </c>
      <c r="N42" s="5">
        <v>257.61</v>
      </c>
      <c r="O42" s="5">
        <v>1.0</v>
      </c>
      <c r="P42" s="5">
        <v>229.36</v>
      </c>
      <c r="Q42" s="5">
        <v>0.0</v>
      </c>
      <c r="R42" s="5">
        <v>0.0</v>
      </c>
      <c r="S42" s="5">
        <v>1.0</v>
      </c>
      <c r="T42" s="5">
        <v>4.3500000000000005</v>
      </c>
    </row>
    <row r="43" ht="12.0" customHeight="1">
      <c r="A43" s="5" t="s">
        <v>159</v>
      </c>
      <c r="B43" s="5" t="s">
        <v>418</v>
      </c>
      <c r="C43" s="5" t="s">
        <v>418</v>
      </c>
      <c r="D43" s="5" t="s">
        <v>26</v>
      </c>
      <c r="E43" s="5">
        <v>382850.369</v>
      </c>
      <c r="F43" s="5">
        <v>9893348.634</v>
      </c>
      <c r="G43" s="5">
        <v>-0.9647434677648117</v>
      </c>
      <c r="H43" s="5">
        <v>133.94711720915035</v>
      </c>
      <c r="I43" s="5" t="s">
        <v>232</v>
      </c>
      <c r="J43" s="5">
        <v>1.0</v>
      </c>
      <c r="K43" s="5">
        <v>308.893</v>
      </c>
      <c r="L43" s="5">
        <v>108.88</v>
      </c>
      <c r="M43" s="5" t="s">
        <v>109</v>
      </c>
      <c r="N43" s="5">
        <v>131.51</v>
      </c>
      <c r="O43" s="5">
        <v>2.0</v>
      </c>
      <c r="P43" s="5">
        <v>84.74</v>
      </c>
      <c r="Q43" s="5">
        <v>4.0</v>
      </c>
      <c r="R43" s="5">
        <v>1.0</v>
      </c>
      <c r="S43" s="5">
        <v>1.0</v>
      </c>
      <c r="T43" s="5">
        <v>3.6550000000000002</v>
      </c>
    </row>
    <row r="44" ht="12.0" customHeight="1">
      <c r="A44" s="5" t="s">
        <v>162</v>
      </c>
      <c r="B44" s="5" t="s">
        <v>440</v>
      </c>
      <c r="C44" s="5" t="s">
        <v>418</v>
      </c>
      <c r="D44" s="5" t="s">
        <v>26</v>
      </c>
      <c r="E44" s="5">
        <v>382453.139</v>
      </c>
      <c r="F44" s="5">
        <v>9893303.136</v>
      </c>
      <c r="G44" s="5">
        <v>-0.9651539170519197</v>
      </c>
      <c r="H44" s="5">
        <v>133.94354738265602</v>
      </c>
      <c r="I44" s="5" t="s">
        <v>27</v>
      </c>
      <c r="J44" s="5">
        <v>1.0</v>
      </c>
      <c r="K44" s="5">
        <v>399.835</v>
      </c>
      <c r="L44" s="5">
        <v>105.81</v>
      </c>
      <c r="M44" s="5" t="s">
        <v>175</v>
      </c>
      <c r="N44" s="5">
        <v>190.0</v>
      </c>
      <c r="O44" s="5">
        <v>1.0</v>
      </c>
      <c r="P44" s="5">
        <v>209.46</v>
      </c>
      <c r="Q44" s="5">
        <v>0.0</v>
      </c>
      <c r="R44" s="5">
        <v>0.0</v>
      </c>
      <c r="S44" s="5">
        <v>1.0</v>
      </c>
      <c r="T44" s="5">
        <v>4.283</v>
      </c>
    </row>
    <row r="45" ht="12.0" customHeight="1">
      <c r="A45" s="5" t="s">
        <v>165</v>
      </c>
      <c r="B45" s="5" t="s">
        <v>440</v>
      </c>
      <c r="C45" s="5" t="s">
        <v>418</v>
      </c>
      <c r="D45" s="5" t="s">
        <v>26</v>
      </c>
      <c r="E45" s="5">
        <v>382142.454</v>
      </c>
      <c r="F45" s="5">
        <v>9893267.502</v>
      </c>
      <c r="G45" s="5">
        <v>-0.9654753785312272</v>
      </c>
      <c r="H45" s="5">
        <v>133.94075532085816</v>
      </c>
      <c r="I45" s="5" t="s">
        <v>27</v>
      </c>
      <c r="J45" s="5">
        <v>1.0</v>
      </c>
      <c r="K45" s="5">
        <v>312.737</v>
      </c>
      <c r="L45" s="5">
        <v>106.95</v>
      </c>
      <c r="M45" s="5" t="s">
        <v>109</v>
      </c>
      <c r="N45" s="5">
        <v>509.0</v>
      </c>
      <c r="O45" s="5">
        <v>2.0</v>
      </c>
      <c r="P45" s="5">
        <v>308.76</v>
      </c>
      <c r="Q45" s="5">
        <v>0.0</v>
      </c>
      <c r="R45" s="5">
        <v>1.0</v>
      </c>
      <c r="S45" s="5">
        <v>1.0</v>
      </c>
      <c r="T45" s="5">
        <v>3.6050000000000004</v>
      </c>
    </row>
    <row r="46" ht="12.0" customHeight="1">
      <c r="A46" s="5" t="s">
        <v>169</v>
      </c>
      <c r="B46" s="5" t="s">
        <v>444</v>
      </c>
      <c r="C46" s="5" t="s">
        <v>418</v>
      </c>
      <c r="D46" s="5" t="s">
        <v>26</v>
      </c>
      <c r="E46" s="5">
        <v>381838.946</v>
      </c>
      <c r="F46" s="5">
        <v>9893163.003</v>
      </c>
      <c r="G46" s="5">
        <v>-0.9664197911442868</v>
      </c>
      <c r="H46" s="5">
        <v>133.93802756344454</v>
      </c>
      <c r="I46" s="5" t="s">
        <v>447</v>
      </c>
      <c r="J46" s="5">
        <v>3.0</v>
      </c>
      <c r="K46" s="5">
        <v>320.956</v>
      </c>
      <c r="L46" s="5">
        <v>109.43</v>
      </c>
      <c r="M46" s="5" t="s">
        <v>132</v>
      </c>
      <c r="N46" s="5">
        <v>787.89</v>
      </c>
      <c r="O46" s="5">
        <v>3.0</v>
      </c>
      <c r="P46" s="5">
        <v>415.0</v>
      </c>
      <c r="Q46" s="5">
        <v>3.0</v>
      </c>
      <c r="R46" s="5">
        <v>2.0</v>
      </c>
      <c r="S46" s="5">
        <v>1.0</v>
      </c>
      <c r="T46" s="5">
        <v>2.003</v>
      </c>
    </row>
    <row r="47" ht="12.0" customHeight="1">
      <c r="A47" s="5" t="s">
        <v>172</v>
      </c>
      <c r="B47" s="5" t="s">
        <v>444</v>
      </c>
      <c r="C47" s="5" t="s">
        <v>418</v>
      </c>
      <c r="D47" s="5" t="s">
        <v>26</v>
      </c>
      <c r="E47" s="5">
        <v>381606.615</v>
      </c>
      <c r="F47" s="5">
        <v>9892949.731</v>
      </c>
      <c r="G47" s="5">
        <v>-0.9683483316129188</v>
      </c>
      <c r="H47" s="5">
        <v>133.9359391291598</v>
      </c>
      <c r="I47" s="5" t="s">
        <v>454</v>
      </c>
      <c r="J47" s="5">
        <v>3.0</v>
      </c>
      <c r="K47" s="5">
        <v>315.417</v>
      </c>
      <c r="L47" s="5">
        <v>103.43</v>
      </c>
      <c r="M47" s="5" t="s">
        <v>175</v>
      </c>
      <c r="N47" s="5">
        <v>672.0</v>
      </c>
      <c r="O47" s="5">
        <v>1.0</v>
      </c>
      <c r="P47" s="5">
        <v>448.43</v>
      </c>
      <c r="Q47" s="5">
        <v>7.0</v>
      </c>
      <c r="R47" s="5">
        <v>0.0</v>
      </c>
      <c r="S47" s="5">
        <v>0.0</v>
      </c>
      <c r="T47" s="5">
        <v>3.6269999999999993</v>
      </c>
    </row>
    <row r="48" ht="12.0" customHeight="1">
      <c r="A48" s="5" t="s">
        <v>176</v>
      </c>
      <c r="B48" s="5" t="s">
        <v>444</v>
      </c>
      <c r="C48" s="5" t="s">
        <v>418</v>
      </c>
      <c r="D48" s="5" t="s">
        <v>26</v>
      </c>
      <c r="E48" s="5">
        <v>381327.251</v>
      </c>
      <c r="F48" s="5">
        <v>9892693.343</v>
      </c>
      <c r="G48" s="5">
        <v>-0.9706667488494579</v>
      </c>
      <c r="H48" s="5">
        <v>133.93342791036412</v>
      </c>
      <c r="I48" s="5" t="s">
        <v>454</v>
      </c>
      <c r="J48" s="5">
        <v>3.0</v>
      </c>
      <c r="K48" s="5">
        <v>379.168</v>
      </c>
      <c r="L48" s="5">
        <v>115.83</v>
      </c>
      <c r="M48" s="5" t="s">
        <v>132</v>
      </c>
      <c r="N48" s="5">
        <v>429.72</v>
      </c>
      <c r="O48" s="5">
        <v>3.0</v>
      </c>
      <c r="P48" s="5">
        <v>300.77</v>
      </c>
      <c r="Q48" s="5">
        <v>7.0</v>
      </c>
      <c r="R48" s="5">
        <v>2.0</v>
      </c>
      <c r="S48" s="5">
        <v>0.0</v>
      </c>
      <c r="T48" s="5">
        <v>1.919</v>
      </c>
    </row>
    <row r="49" ht="12.0" customHeight="1">
      <c r="A49" s="5" t="s">
        <v>179</v>
      </c>
      <c r="B49" s="5" t="s">
        <v>444</v>
      </c>
      <c r="C49" s="5" t="s">
        <v>418</v>
      </c>
      <c r="D49" s="5" t="s">
        <v>26</v>
      </c>
      <c r="E49" s="5">
        <v>380911.496</v>
      </c>
      <c r="F49" s="5">
        <v>9892633.034</v>
      </c>
      <c r="G49" s="5">
        <v>-0.9712110976897675</v>
      </c>
      <c r="H49" s="5">
        <v>133.92969157499718</v>
      </c>
      <c r="I49" s="5" t="s">
        <v>454</v>
      </c>
      <c r="J49" s="5">
        <v>3.0</v>
      </c>
      <c r="K49" s="5">
        <v>419.996</v>
      </c>
      <c r="L49" s="5">
        <v>116.93</v>
      </c>
      <c r="M49" s="5" t="s">
        <v>175</v>
      </c>
      <c r="N49" s="5">
        <v>264.11</v>
      </c>
      <c r="O49" s="5">
        <v>1.0</v>
      </c>
      <c r="P49" s="5">
        <v>15.0</v>
      </c>
      <c r="Q49" s="5">
        <v>7.0</v>
      </c>
      <c r="R49" s="5">
        <v>0.0</v>
      </c>
      <c r="S49" s="5">
        <v>0.0</v>
      </c>
      <c r="T49" s="5">
        <v>3.677</v>
      </c>
    </row>
    <row r="50" ht="12.0" customHeight="1">
      <c r="A50" s="5" t="s">
        <v>182</v>
      </c>
      <c r="B50" s="5" t="s">
        <v>444</v>
      </c>
      <c r="C50" s="5" t="s">
        <v>418</v>
      </c>
      <c r="D50" s="5" t="s">
        <v>26</v>
      </c>
      <c r="E50" s="5">
        <v>380535.482</v>
      </c>
      <c r="F50" s="5">
        <v>9892578.172</v>
      </c>
      <c r="G50" s="5">
        <v>-0.9717062834510862</v>
      </c>
      <c r="H50" s="5">
        <v>133.92631238868205</v>
      </c>
      <c r="I50" s="5" t="s">
        <v>454</v>
      </c>
      <c r="J50" s="5">
        <v>3.0</v>
      </c>
      <c r="K50" s="5">
        <v>380.04</v>
      </c>
      <c r="L50" s="5">
        <v>120.78</v>
      </c>
      <c r="M50" s="5" t="s">
        <v>175</v>
      </c>
      <c r="N50" s="5">
        <v>652.79</v>
      </c>
      <c r="O50" s="5">
        <v>1.0</v>
      </c>
      <c r="P50" s="5">
        <v>247.96</v>
      </c>
      <c r="Q50" s="5">
        <v>7.0</v>
      </c>
      <c r="R50" s="5">
        <v>0.0</v>
      </c>
      <c r="S50" s="5">
        <v>0.0</v>
      </c>
      <c r="T50" s="5">
        <v>3.4929999999999994</v>
      </c>
    </row>
    <row r="51" ht="12.0" customHeight="1">
      <c r="A51" s="5" t="s">
        <v>185</v>
      </c>
      <c r="B51" s="5" t="s">
        <v>444</v>
      </c>
      <c r="C51" s="5" t="s">
        <v>418</v>
      </c>
      <c r="D51" s="5" t="s">
        <v>26</v>
      </c>
      <c r="E51" s="5">
        <v>380079.405</v>
      </c>
      <c r="F51" s="5">
        <v>9892511.912</v>
      </c>
      <c r="G51" s="5">
        <v>-0.9723043362206008</v>
      </c>
      <c r="H51" s="5">
        <v>133.92221369158378</v>
      </c>
      <c r="I51" s="5" t="s">
        <v>454</v>
      </c>
      <c r="J51" s="5">
        <v>3.0</v>
      </c>
      <c r="K51" s="5">
        <v>460.913</v>
      </c>
      <c r="L51" s="5">
        <v>126.67</v>
      </c>
      <c r="M51" s="5" t="s">
        <v>132</v>
      </c>
      <c r="N51" s="5">
        <v>385.11</v>
      </c>
      <c r="O51" s="5">
        <v>3.0</v>
      </c>
      <c r="P51" s="5">
        <v>298.59</v>
      </c>
      <c r="Q51" s="5">
        <v>7.0</v>
      </c>
      <c r="R51" s="5">
        <v>2.0</v>
      </c>
      <c r="S51" s="5">
        <v>0.0</v>
      </c>
      <c r="T51" s="5">
        <v>1.8519999999999999</v>
      </c>
    </row>
    <row r="52" ht="12.0" customHeight="1">
      <c r="A52" s="5" t="s">
        <v>188</v>
      </c>
      <c r="B52" s="5" t="s">
        <v>444</v>
      </c>
      <c r="C52" s="5" t="s">
        <v>418</v>
      </c>
      <c r="D52" s="5" t="s">
        <v>26</v>
      </c>
      <c r="E52" s="5">
        <v>379809.939</v>
      </c>
      <c r="F52" s="5">
        <v>9892642.379</v>
      </c>
      <c r="G52" s="5">
        <v>-0.9711233959088295</v>
      </c>
      <c r="H52" s="5">
        <v>133.9197925295319</v>
      </c>
      <c r="I52" s="5" t="s">
        <v>454</v>
      </c>
      <c r="J52" s="5">
        <v>3.0</v>
      </c>
      <c r="K52" s="5">
        <v>299.469</v>
      </c>
      <c r="L52" s="5">
        <v>121.15</v>
      </c>
      <c r="M52" s="5" t="s">
        <v>175</v>
      </c>
      <c r="N52" s="5">
        <v>340.2</v>
      </c>
      <c r="O52" s="5">
        <v>1.0</v>
      </c>
      <c r="P52" s="5">
        <v>50.93</v>
      </c>
      <c r="Q52" s="5">
        <v>7.0</v>
      </c>
      <c r="R52" s="5">
        <v>0.0</v>
      </c>
      <c r="S52" s="5">
        <v>0.0</v>
      </c>
      <c r="T52" s="5">
        <v>3.7439999999999998</v>
      </c>
    </row>
    <row r="53" ht="12.0" customHeight="1">
      <c r="A53" s="5" t="s">
        <v>191</v>
      </c>
      <c r="B53" s="5" t="s">
        <v>444</v>
      </c>
      <c r="C53" s="5" t="s">
        <v>418</v>
      </c>
      <c r="D53" s="5" t="s">
        <v>26</v>
      </c>
      <c r="E53" s="5">
        <v>379468.719</v>
      </c>
      <c r="F53" s="5">
        <v>9892807.713</v>
      </c>
      <c r="G53" s="5">
        <v>-0.9696268530209662</v>
      </c>
      <c r="H53" s="5">
        <v>133.9167266600223</v>
      </c>
      <c r="I53" s="5" t="s">
        <v>457</v>
      </c>
      <c r="J53" s="5">
        <v>2.0</v>
      </c>
      <c r="K53" s="5">
        <v>379.123</v>
      </c>
      <c r="L53" s="5">
        <v>122.95</v>
      </c>
      <c r="M53" s="5" t="s">
        <v>175</v>
      </c>
      <c r="N53" s="5">
        <v>120.0</v>
      </c>
      <c r="O53" s="5">
        <v>1.0</v>
      </c>
      <c r="P53" s="5">
        <v>200.0</v>
      </c>
      <c r="Q53" s="5">
        <v>10.0</v>
      </c>
      <c r="R53" s="5">
        <v>0.0</v>
      </c>
      <c r="S53" s="5">
        <v>0.0</v>
      </c>
      <c r="T53" s="5">
        <v>3.9629999999999996</v>
      </c>
    </row>
    <row r="54" ht="12.0" customHeight="1">
      <c r="A54" s="5" t="s">
        <v>194</v>
      </c>
      <c r="B54" s="5" t="s">
        <v>444</v>
      </c>
      <c r="C54" s="5" t="s">
        <v>418</v>
      </c>
      <c r="D54" s="5" t="s">
        <v>26</v>
      </c>
      <c r="E54" s="5">
        <v>379133.978</v>
      </c>
      <c r="F54" s="5">
        <v>9892969.905</v>
      </c>
      <c r="G54" s="5">
        <v>-0.9681587505842784</v>
      </c>
      <c r="H54" s="5">
        <v>133.9137190094059</v>
      </c>
      <c r="I54" s="5" t="s">
        <v>457</v>
      </c>
      <c r="J54" s="5">
        <v>2.0</v>
      </c>
      <c r="K54" s="5">
        <v>372.013</v>
      </c>
      <c r="L54" s="5">
        <v>126.99</v>
      </c>
      <c r="M54" s="5" t="s">
        <v>175</v>
      </c>
      <c r="N54" s="5">
        <v>95.06</v>
      </c>
      <c r="O54" s="5">
        <v>1.0</v>
      </c>
      <c r="P54" s="5">
        <v>315.0</v>
      </c>
      <c r="Q54" s="5">
        <v>10.0</v>
      </c>
      <c r="R54" s="5">
        <v>0.0</v>
      </c>
      <c r="S54" s="5">
        <v>0.0</v>
      </c>
      <c r="T54" s="5">
        <v>3.9629999999999996</v>
      </c>
    </row>
    <row r="55" ht="12.0" customHeight="1">
      <c r="A55" s="5" t="s">
        <v>197</v>
      </c>
      <c r="B55" s="5" t="s">
        <v>444</v>
      </c>
      <c r="C55" s="5" t="s">
        <v>418</v>
      </c>
      <c r="D55" s="5" t="s">
        <v>26</v>
      </c>
      <c r="E55" s="5">
        <v>378782.051</v>
      </c>
      <c r="F55" s="5">
        <v>9893140.294</v>
      </c>
      <c r="G55" s="5">
        <v>-0.9666164513952145</v>
      </c>
      <c r="H55" s="5">
        <v>133.91055694734</v>
      </c>
      <c r="I55" s="5" t="s">
        <v>459</v>
      </c>
      <c r="J55" s="5">
        <v>2.0</v>
      </c>
      <c r="K55" s="5">
        <v>391.003</v>
      </c>
      <c r="L55" s="5">
        <v>133.79</v>
      </c>
      <c r="M55" s="5" t="s">
        <v>175</v>
      </c>
      <c r="N55" s="5">
        <v>119.57</v>
      </c>
      <c r="O55" s="5">
        <v>1.0</v>
      </c>
      <c r="P55" s="5">
        <v>2296.28</v>
      </c>
      <c r="Q55" s="5">
        <v>11.0</v>
      </c>
      <c r="R55" s="5">
        <v>0.0</v>
      </c>
      <c r="S55" s="5">
        <v>0.0</v>
      </c>
      <c r="T55" s="5">
        <v>3.925</v>
      </c>
    </row>
    <row r="56" ht="12.0" customHeight="1">
      <c r="A56" s="5" t="s">
        <v>200</v>
      </c>
      <c r="B56" s="5" t="s">
        <v>451</v>
      </c>
      <c r="C56" s="5" t="s">
        <v>418</v>
      </c>
      <c r="D56" s="5" t="s">
        <v>26</v>
      </c>
      <c r="E56" s="5">
        <v>378421.315</v>
      </c>
      <c r="F56" s="5">
        <v>9893315.065</v>
      </c>
      <c r="G56" s="5">
        <v>-0.9650344889309966</v>
      </c>
      <c r="H56" s="5">
        <v>133.90731574241246</v>
      </c>
      <c r="I56" s="5" t="s">
        <v>452</v>
      </c>
      <c r="J56" s="5">
        <v>3.0</v>
      </c>
      <c r="K56" s="5">
        <v>400.823</v>
      </c>
      <c r="L56" s="5">
        <v>140.67</v>
      </c>
      <c r="M56" s="5" t="s">
        <v>175</v>
      </c>
      <c r="N56" s="5">
        <v>182.8</v>
      </c>
      <c r="O56" s="5">
        <v>1.0</v>
      </c>
      <c r="P56" s="5">
        <v>1953.63</v>
      </c>
      <c r="Q56" s="5">
        <v>14.0</v>
      </c>
      <c r="R56" s="5">
        <v>0.0</v>
      </c>
      <c r="S56" s="5">
        <v>0.0</v>
      </c>
      <c r="T56" s="5">
        <v>3.6149999999999998</v>
      </c>
    </row>
    <row r="57" ht="12.0" customHeight="1">
      <c r="A57" s="5" t="s">
        <v>203</v>
      </c>
      <c r="B57" s="5" t="s">
        <v>451</v>
      </c>
      <c r="C57" s="5" t="s">
        <v>418</v>
      </c>
      <c r="D57" s="5" t="s">
        <v>26</v>
      </c>
      <c r="E57" s="5">
        <v>378145.729</v>
      </c>
      <c r="F57" s="5">
        <v>9893448.561</v>
      </c>
      <c r="G57" s="5">
        <v>-0.96382613258608</v>
      </c>
      <c r="H57" s="5">
        <v>133.90483961211018</v>
      </c>
      <c r="I57" s="5" t="s">
        <v>452</v>
      </c>
      <c r="J57" s="5">
        <v>3.0</v>
      </c>
      <c r="K57" s="5">
        <v>306.171</v>
      </c>
      <c r="L57" s="5">
        <v>145.69</v>
      </c>
      <c r="M57" s="5" t="s">
        <v>175</v>
      </c>
      <c r="N57" s="5">
        <v>193.17</v>
      </c>
      <c r="O57" s="5">
        <v>1.0</v>
      </c>
      <c r="P57" s="5">
        <v>1417.18</v>
      </c>
      <c r="Q57" s="5">
        <v>14.0</v>
      </c>
      <c r="R57" s="5">
        <v>0.0</v>
      </c>
      <c r="S57" s="5">
        <v>0.0</v>
      </c>
      <c r="T57" s="5">
        <v>3.749</v>
      </c>
    </row>
    <row r="58" ht="12.0" customHeight="1">
      <c r="A58" s="5" t="s">
        <v>206</v>
      </c>
      <c r="B58" s="5" t="s">
        <v>453</v>
      </c>
      <c r="C58" s="5" t="s">
        <v>418</v>
      </c>
      <c r="D58" s="5" t="s">
        <v>26</v>
      </c>
      <c r="E58" s="5">
        <v>377818.297</v>
      </c>
      <c r="F58" s="5">
        <v>9893607.14</v>
      </c>
      <c r="G58" s="5">
        <v>-0.9623907342713622</v>
      </c>
      <c r="H58" s="5">
        <v>133.90189765158735</v>
      </c>
      <c r="I58" s="5" t="s">
        <v>464</v>
      </c>
      <c r="J58" s="5">
        <v>3.0</v>
      </c>
      <c r="K58" s="5">
        <v>363.771</v>
      </c>
      <c r="L58" s="5">
        <v>154.16</v>
      </c>
      <c r="M58" s="5" t="s">
        <v>175</v>
      </c>
      <c r="N58" s="5">
        <v>272.22</v>
      </c>
      <c r="O58" s="5">
        <v>1.0</v>
      </c>
      <c r="P58" s="5">
        <v>1113.09</v>
      </c>
      <c r="Q58" s="5">
        <v>5.0</v>
      </c>
      <c r="R58" s="5">
        <v>0.0</v>
      </c>
      <c r="S58" s="5">
        <v>0.0</v>
      </c>
      <c r="T58" s="5">
        <v>3.646</v>
      </c>
    </row>
    <row r="59" ht="12.0" customHeight="1">
      <c r="A59" s="5" t="s">
        <v>209</v>
      </c>
      <c r="B59" s="5" t="s">
        <v>453</v>
      </c>
      <c r="C59" s="5" t="s">
        <v>418</v>
      </c>
      <c r="D59" s="5" t="s">
        <v>26</v>
      </c>
      <c r="E59" s="5">
        <v>377517.426</v>
      </c>
      <c r="F59" s="5">
        <v>9893752.786</v>
      </c>
      <c r="G59" s="5">
        <v>-0.9610724005047753</v>
      </c>
      <c r="H59" s="5">
        <v>133.89919434428612</v>
      </c>
      <c r="I59" s="5" t="s">
        <v>454</v>
      </c>
      <c r="J59" s="5">
        <v>3.0</v>
      </c>
      <c r="K59" s="5">
        <v>333.846</v>
      </c>
      <c r="L59" s="5">
        <v>162.67</v>
      </c>
      <c r="M59" s="5" t="s">
        <v>109</v>
      </c>
      <c r="N59" s="5">
        <v>246.59</v>
      </c>
      <c r="O59" s="5">
        <v>2.0</v>
      </c>
      <c r="P59" s="5">
        <v>814.57</v>
      </c>
      <c r="Q59" s="5">
        <v>7.0</v>
      </c>
      <c r="R59" s="5">
        <v>1.0</v>
      </c>
      <c r="S59" s="5">
        <v>0.0</v>
      </c>
      <c r="T59" s="5">
        <v>2.7400000000000007</v>
      </c>
    </row>
    <row r="60" ht="12.0" customHeight="1">
      <c r="A60" s="5" t="s">
        <v>212</v>
      </c>
      <c r="B60" s="5" t="s">
        <v>453</v>
      </c>
      <c r="C60" s="5" t="s">
        <v>418</v>
      </c>
      <c r="D60" s="5" t="s">
        <v>26</v>
      </c>
      <c r="E60" s="5">
        <v>377196.23</v>
      </c>
      <c r="F60" s="5">
        <v>9894011.562</v>
      </c>
      <c r="G60" s="5">
        <v>-0.9587306791074478</v>
      </c>
      <c r="H60" s="5">
        <v>133.8963087218478</v>
      </c>
      <c r="I60" s="5" t="s">
        <v>454</v>
      </c>
      <c r="J60" s="5">
        <v>3.0</v>
      </c>
      <c r="K60" s="5">
        <v>412.873</v>
      </c>
      <c r="L60" s="5">
        <v>172.83</v>
      </c>
      <c r="M60" s="5" t="s">
        <v>109</v>
      </c>
      <c r="N60" s="5">
        <v>552.56</v>
      </c>
      <c r="O60" s="5">
        <v>2.0</v>
      </c>
      <c r="P60" s="5">
        <v>482.45</v>
      </c>
      <c r="Q60" s="5">
        <v>7.0</v>
      </c>
      <c r="R60" s="5">
        <v>1.0</v>
      </c>
      <c r="S60" s="5">
        <v>0.0</v>
      </c>
      <c r="T60" s="5">
        <v>2.556</v>
      </c>
    </row>
    <row r="61" ht="12.0" customHeight="1">
      <c r="A61" s="5" t="s">
        <v>215</v>
      </c>
      <c r="B61" s="5" t="s">
        <v>458</v>
      </c>
      <c r="C61" s="5" t="s">
        <v>418</v>
      </c>
      <c r="D61" s="5" t="s">
        <v>26</v>
      </c>
      <c r="E61" s="5">
        <v>376981.942</v>
      </c>
      <c r="F61" s="5">
        <v>9894349.898</v>
      </c>
      <c r="G61" s="5">
        <v>-0.9556696040975436</v>
      </c>
      <c r="H61" s="5">
        <v>133.89438404245462</v>
      </c>
      <c r="I61" s="5" t="s">
        <v>454</v>
      </c>
      <c r="J61" s="5">
        <v>3.0</v>
      </c>
      <c r="K61" s="5">
        <v>399.995</v>
      </c>
      <c r="L61" s="5">
        <v>169.52</v>
      </c>
      <c r="M61" s="5" t="s">
        <v>175</v>
      </c>
      <c r="N61" s="5">
        <v>910.33</v>
      </c>
      <c r="O61" s="5">
        <v>1.0</v>
      </c>
      <c r="P61" s="5">
        <v>100.75</v>
      </c>
      <c r="Q61" s="5">
        <v>7.0</v>
      </c>
      <c r="R61" s="5">
        <v>0.0</v>
      </c>
      <c r="S61" s="5">
        <v>0.0</v>
      </c>
      <c r="T61" s="5">
        <v>3.282</v>
      </c>
    </row>
    <row r="62" ht="12.0" customHeight="1">
      <c r="A62" s="5" t="s">
        <v>219</v>
      </c>
      <c r="B62" s="5" t="s">
        <v>460</v>
      </c>
      <c r="C62" s="5" t="s">
        <v>461</v>
      </c>
      <c r="D62" s="5" t="s">
        <v>26</v>
      </c>
      <c r="E62" s="5">
        <v>376796.357</v>
      </c>
      <c r="F62" s="5">
        <v>9894643.116</v>
      </c>
      <c r="G62" s="5">
        <v>-0.953016734210808</v>
      </c>
      <c r="H62" s="5">
        <v>133.89271716780033</v>
      </c>
      <c r="I62" s="5" t="s">
        <v>462</v>
      </c>
      <c r="J62" s="5">
        <v>1.0</v>
      </c>
      <c r="K62" s="5">
        <v>347.98</v>
      </c>
      <c r="L62" s="5">
        <v>173.22</v>
      </c>
      <c r="M62" s="5" t="s">
        <v>175</v>
      </c>
      <c r="N62" s="5">
        <v>893.63</v>
      </c>
      <c r="O62" s="5">
        <v>1.0</v>
      </c>
      <c r="P62" s="5">
        <v>240.12</v>
      </c>
      <c r="Q62" s="5">
        <v>17.0</v>
      </c>
      <c r="R62" s="5">
        <v>0.0</v>
      </c>
      <c r="S62" s="5">
        <v>1.0</v>
      </c>
      <c r="T62" s="5">
        <v>4.089</v>
      </c>
    </row>
    <row r="63" ht="12.0" customHeight="1">
      <c r="A63" s="5" t="s">
        <v>222</v>
      </c>
      <c r="B63" s="5" t="s">
        <v>460</v>
      </c>
      <c r="C63" s="5" t="s">
        <v>461</v>
      </c>
      <c r="D63" s="5" t="s">
        <v>26</v>
      </c>
      <c r="E63" s="5">
        <v>376610.917</v>
      </c>
      <c r="F63" s="5">
        <v>9894936.876</v>
      </c>
      <c r="G63" s="5">
        <v>-0.9503589641895985</v>
      </c>
      <c r="H63" s="5">
        <v>133.89105159885705</v>
      </c>
      <c r="I63" s="5" t="s">
        <v>454</v>
      </c>
      <c r="J63" s="5">
        <v>3.0</v>
      </c>
      <c r="K63" s="5">
        <v>346.637</v>
      </c>
      <c r="L63" s="5">
        <v>179.15</v>
      </c>
      <c r="M63" s="5" t="s">
        <v>463</v>
      </c>
      <c r="N63" s="5">
        <v>492.15</v>
      </c>
      <c r="O63" s="5">
        <v>3.0</v>
      </c>
      <c r="P63" s="5">
        <v>522.24</v>
      </c>
      <c r="Q63" s="5">
        <v>7.0</v>
      </c>
      <c r="R63" s="5">
        <v>3.0</v>
      </c>
      <c r="S63" s="5">
        <v>1.0</v>
      </c>
      <c r="T63" s="5">
        <v>1.671</v>
      </c>
    </row>
    <row r="64" ht="12.0" customHeight="1">
      <c r="A64" s="5" t="s">
        <v>225</v>
      </c>
      <c r="B64" s="5" t="s">
        <v>460</v>
      </c>
      <c r="C64" s="5" t="s">
        <v>461</v>
      </c>
      <c r="D64" s="5" t="s">
        <v>26</v>
      </c>
      <c r="E64" s="5">
        <v>376646.726</v>
      </c>
      <c r="F64" s="5">
        <v>9895221.898</v>
      </c>
      <c r="G64" s="5">
        <v>-0.9477808777833074</v>
      </c>
      <c r="H64" s="5">
        <v>133.89137420958494</v>
      </c>
      <c r="I64" s="5" t="s">
        <v>454</v>
      </c>
      <c r="J64" s="5">
        <v>3.0</v>
      </c>
      <c r="K64" s="5">
        <v>287.379</v>
      </c>
      <c r="L64" s="5">
        <v>176.48</v>
      </c>
      <c r="M64" s="5" t="s">
        <v>109</v>
      </c>
      <c r="N64" s="5">
        <v>175.26</v>
      </c>
      <c r="O64" s="5">
        <v>2.0</v>
      </c>
      <c r="P64" s="5">
        <v>782.84</v>
      </c>
      <c r="Q64" s="5">
        <v>7.0</v>
      </c>
      <c r="R64" s="5">
        <v>1.0</v>
      </c>
      <c r="S64" s="5">
        <v>0.0</v>
      </c>
      <c r="T64" s="5">
        <v>2.857</v>
      </c>
    </row>
    <row r="65" ht="12.0" customHeight="1">
      <c r="A65" s="5" t="s">
        <v>228</v>
      </c>
      <c r="B65" s="5" t="s">
        <v>460</v>
      </c>
      <c r="C65" s="5" t="s">
        <v>461</v>
      </c>
      <c r="D65" s="5" t="s">
        <v>26</v>
      </c>
      <c r="E65" s="5">
        <v>376781.075</v>
      </c>
      <c r="F65" s="5">
        <v>9895510.951</v>
      </c>
      <c r="G65" s="5">
        <v>-0.9451666123270493</v>
      </c>
      <c r="H65" s="5">
        <v>133.89258233632708</v>
      </c>
      <c r="I65" s="5" t="s">
        <v>454</v>
      </c>
      <c r="J65" s="5">
        <v>3.0</v>
      </c>
      <c r="K65" s="5">
        <v>318.78</v>
      </c>
      <c r="L65" s="5">
        <v>167.39</v>
      </c>
      <c r="M65" s="5" t="s">
        <v>109</v>
      </c>
      <c r="N65" s="5">
        <v>47.66</v>
      </c>
      <c r="O65" s="5">
        <v>2.0</v>
      </c>
      <c r="P65" s="5">
        <v>1051.96</v>
      </c>
      <c r="Q65" s="5">
        <v>7.0</v>
      </c>
      <c r="R65" s="5">
        <v>1.0</v>
      </c>
      <c r="S65" s="5">
        <v>0.0</v>
      </c>
      <c r="T65" s="5">
        <v>2.7900000000000005</v>
      </c>
    </row>
    <row r="66" ht="12.0" customHeight="1">
      <c r="A66" s="5" t="s">
        <v>231</v>
      </c>
      <c r="B66" s="5" t="s">
        <v>460</v>
      </c>
      <c r="C66" s="5" t="s">
        <v>461</v>
      </c>
      <c r="D66" s="5" t="s">
        <v>26</v>
      </c>
      <c r="E66" s="5">
        <v>376980.306</v>
      </c>
      <c r="F66" s="5">
        <v>9895778.263</v>
      </c>
      <c r="G66" s="5">
        <v>-0.9427491908807494</v>
      </c>
      <c r="H66" s="5">
        <v>133.89437344460825</v>
      </c>
      <c r="I66" s="5" t="s">
        <v>454</v>
      </c>
      <c r="J66" s="5">
        <v>3.0</v>
      </c>
      <c r="K66" s="5">
        <v>333.356</v>
      </c>
      <c r="L66" s="5">
        <v>161.75</v>
      </c>
      <c r="M66" s="5" t="s">
        <v>175</v>
      </c>
      <c r="N66" s="5">
        <v>44.96</v>
      </c>
      <c r="O66" s="5">
        <v>1.0</v>
      </c>
      <c r="P66" s="5">
        <v>796.44</v>
      </c>
      <c r="Q66" s="5">
        <v>7.0</v>
      </c>
      <c r="R66" s="5">
        <v>0.0</v>
      </c>
      <c r="S66" s="5">
        <v>0.0</v>
      </c>
      <c r="T66" s="5">
        <v>3.602</v>
      </c>
    </row>
    <row r="67" ht="12.0" customHeight="1">
      <c r="A67" s="5" t="s">
        <v>235</v>
      </c>
      <c r="B67" s="5" t="s">
        <v>460</v>
      </c>
      <c r="C67" s="5" t="s">
        <v>461</v>
      </c>
      <c r="D67" s="5" t="s">
        <v>26</v>
      </c>
      <c r="E67" s="5">
        <v>377182.307</v>
      </c>
      <c r="F67" s="5">
        <v>9896049.096</v>
      </c>
      <c r="G67" s="5">
        <v>-0.9402999239066819</v>
      </c>
      <c r="H67" s="5">
        <v>133.89618945152495</v>
      </c>
      <c r="I67" s="5" t="s">
        <v>454</v>
      </c>
      <c r="J67" s="5">
        <v>3.0</v>
      </c>
      <c r="K67" s="5">
        <v>337.886</v>
      </c>
      <c r="L67" s="5">
        <v>151.5</v>
      </c>
      <c r="M67" s="5" t="s">
        <v>175</v>
      </c>
      <c r="N67" s="5">
        <v>31.84</v>
      </c>
      <c r="O67" s="5">
        <v>1.0</v>
      </c>
      <c r="P67" s="5">
        <v>984.32</v>
      </c>
      <c r="Q67" s="5">
        <v>7.0</v>
      </c>
      <c r="R67" s="5">
        <v>0.0</v>
      </c>
      <c r="S67" s="5">
        <v>0.0</v>
      </c>
      <c r="T67" s="5">
        <v>3.7629999999999995</v>
      </c>
    </row>
    <row r="68" ht="12.0" customHeight="1">
      <c r="A68" s="5" t="s">
        <v>238</v>
      </c>
      <c r="B68" s="5" t="s">
        <v>465</v>
      </c>
      <c r="C68" s="5" t="s">
        <v>461</v>
      </c>
      <c r="D68" s="5" t="s">
        <v>26</v>
      </c>
      <c r="E68" s="5">
        <v>377391.367</v>
      </c>
      <c r="F68" s="5">
        <v>9896329.57</v>
      </c>
      <c r="G68" s="5">
        <v>-0.9377634643631811</v>
      </c>
      <c r="H68" s="5">
        <v>133.89806891637673</v>
      </c>
      <c r="I68" s="5" t="s">
        <v>468</v>
      </c>
      <c r="J68" s="5">
        <v>3.0</v>
      </c>
      <c r="K68" s="5">
        <v>349.751</v>
      </c>
      <c r="L68" s="5">
        <v>142.86</v>
      </c>
      <c r="M68" s="5" t="s">
        <v>109</v>
      </c>
      <c r="N68" s="5">
        <v>34.39</v>
      </c>
      <c r="O68" s="5">
        <v>1.0</v>
      </c>
      <c r="P68" s="5">
        <v>1042.22</v>
      </c>
      <c r="Q68" s="5">
        <v>9.0</v>
      </c>
      <c r="R68" s="5">
        <v>1.0</v>
      </c>
      <c r="S68" s="5">
        <v>0.0</v>
      </c>
      <c r="T68" s="5">
        <v>3.5060000000000002</v>
      </c>
    </row>
    <row r="69" ht="12.0" customHeight="1">
      <c r="A69" s="5" t="s">
        <v>241</v>
      </c>
      <c r="B69" s="5" t="s">
        <v>465</v>
      </c>
      <c r="C69" s="5" t="s">
        <v>461</v>
      </c>
      <c r="D69" s="5" t="s">
        <v>26</v>
      </c>
      <c r="E69" s="5">
        <v>377511.56</v>
      </c>
      <c r="F69" s="5">
        <v>9896603.119</v>
      </c>
      <c r="G69" s="5">
        <v>-0.9352893893516445</v>
      </c>
      <c r="H69" s="5">
        <v>133.8991497753775</v>
      </c>
      <c r="I69" s="5" t="s">
        <v>468</v>
      </c>
      <c r="J69" s="5">
        <v>3.0</v>
      </c>
      <c r="K69" s="5">
        <v>298.841</v>
      </c>
      <c r="L69" s="5">
        <v>133.89</v>
      </c>
      <c r="M69" s="5" t="s">
        <v>463</v>
      </c>
      <c r="N69" s="5">
        <v>40.27</v>
      </c>
      <c r="O69" s="5">
        <v>2.0</v>
      </c>
      <c r="P69" s="5">
        <v>1231.06</v>
      </c>
      <c r="Q69" s="5">
        <v>9.0</v>
      </c>
      <c r="R69" s="5">
        <v>3.0</v>
      </c>
      <c r="S69" s="5">
        <v>0.0</v>
      </c>
      <c r="T69" s="5">
        <v>2.638</v>
      </c>
    </row>
    <row r="70" ht="12.0" customHeight="1">
      <c r="A70" s="5" t="s">
        <v>245</v>
      </c>
      <c r="B70" s="5" t="s">
        <v>465</v>
      </c>
      <c r="C70" s="5" t="s">
        <v>461</v>
      </c>
      <c r="D70" s="5" t="s">
        <v>26</v>
      </c>
      <c r="E70" s="5">
        <v>377415.93</v>
      </c>
      <c r="F70" s="5">
        <v>9896886.231</v>
      </c>
      <c r="G70" s="5">
        <v>-0.9327281983679346</v>
      </c>
      <c r="H70" s="5">
        <v>133.89829121632567</v>
      </c>
      <c r="I70" s="5" t="s">
        <v>452</v>
      </c>
      <c r="J70" s="5">
        <v>3.0</v>
      </c>
      <c r="K70" s="5">
        <v>308.597</v>
      </c>
      <c r="L70" s="5">
        <v>131.57</v>
      </c>
      <c r="M70" s="5" t="s">
        <v>132</v>
      </c>
      <c r="N70" s="5">
        <v>29.43</v>
      </c>
      <c r="O70" s="5">
        <v>2.0</v>
      </c>
      <c r="P70" s="5">
        <v>1418.06</v>
      </c>
      <c r="Q70" s="5">
        <v>14.0</v>
      </c>
      <c r="R70" s="5">
        <v>2.0</v>
      </c>
      <c r="S70" s="5">
        <v>0.0</v>
      </c>
      <c r="T70" s="5">
        <v>2.797</v>
      </c>
    </row>
    <row r="71" ht="12.0" customHeight="1">
      <c r="A71" s="5" t="s">
        <v>248</v>
      </c>
      <c r="B71" s="5" t="s">
        <v>467</v>
      </c>
      <c r="C71" s="5" t="s">
        <v>461</v>
      </c>
      <c r="D71" s="5" t="s">
        <v>26</v>
      </c>
      <c r="E71" s="5">
        <v>377142.08</v>
      </c>
      <c r="F71" s="5">
        <v>9897136.716</v>
      </c>
      <c r="G71" s="5">
        <v>-0.9304616353226872</v>
      </c>
      <c r="H71" s="5">
        <v>133.89583103601876</v>
      </c>
      <c r="I71" s="5" t="s">
        <v>470</v>
      </c>
      <c r="J71" s="5">
        <v>2.0</v>
      </c>
      <c r="K71" s="5">
        <v>331.696</v>
      </c>
      <c r="L71" s="5">
        <v>123.89</v>
      </c>
      <c r="M71" s="5" t="s">
        <v>175</v>
      </c>
      <c r="N71" s="5">
        <v>48.15</v>
      </c>
      <c r="O71" s="5">
        <v>1.0</v>
      </c>
      <c r="P71" s="5">
        <v>1554.84</v>
      </c>
      <c r="Q71" s="5">
        <v>15.0</v>
      </c>
      <c r="R71" s="5">
        <v>0.0</v>
      </c>
      <c r="S71" s="5">
        <v>0.0</v>
      </c>
      <c r="T71" s="5">
        <v>4.1690000000000005</v>
      </c>
    </row>
    <row r="72" ht="12.0" customHeight="1">
      <c r="A72" s="5" t="s">
        <v>251</v>
      </c>
      <c r="B72" s="5" t="s">
        <v>467</v>
      </c>
      <c r="C72" s="5" t="s">
        <v>461</v>
      </c>
      <c r="D72" s="5" t="s">
        <v>26</v>
      </c>
      <c r="E72" s="5">
        <v>376942.892</v>
      </c>
      <c r="F72" s="5">
        <v>9897305.644</v>
      </c>
      <c r="G72" s="5">
        <v>-0.9289330170005797</v>
      </c>
      <c r="H72" s="5">
        <v>133.89404155997914</v>
      </c>
      <c r="I72" s="5" t="s">
        <v>470</v>
      </c>
      <c r="J72" s="5">
        <v>2.0</v>
      </c>
      <c r="K72" s="5">
        <v>372.224</v>
      </c>
      <c r="L72" s="5">
        <v>125.01</v>
      </c>
      <c r="M72" s="5" t="s">
        <v>175</v>
      </c>
      <c r="N72" s="5">
        <v>46.15</v>
      </c>
      <c r="O72" s="5">
        <v>1.0</v>
      </c>
      <c r="P72" s="5">
        <v>2023.7</v>
      </c>
      <c r="Q72" s="5">
        <v>15.0</v>
      </c>
      <c r="R72" s="5">
        <v>0.0</v>
      </c>
      <c r="S72" s="5">
        <v>0.0</v>
      </c>
      <c r="T72" s="5">
        <v>4.102</v>
      </c>
    </row>
    <row r="73" ht="12.0" customHeight="1">
      <c r="A73" s="5" t="s">
        <v>254</v>
      </c>
      <c r="B73" s="5" t="s">
        <v>467</v>
      </c>
      <c r="C73" s="5" t="s">
        <v>461</v>
      </c>
      <c r="D73" s="5" t="s">
        <v>26</v>
      </c>
      <c r="E73" s="5">
        <v>376663.573</v>
      </c>
      <c r="F73" s="5">
        <v>9897542.642</v>
      </c>
      <c r="G73" s="5">
        <v>-0.9267884396843363</v>
      </c>
      <c r="H73" s="5">
        <v>133.89153220210113</v>
      </c>
      <c r="I73" s="5" t="s">
        <v>470</v>
      </c>
      <c r="J73" s="5">
        <v>2.0</v>
      </c>
      <c r="K73" s="5">
        <v>365.679</v>
      </c>
      <c r="L73" s="5">
        <v>123.47</v>
      </c>
      <c r="M73" s="5" t="s">
        <v>175</v>
      </c>
      <c r="N73" s="5">
        <v>41.08</v>
      </c>
      <c r="O73" s="5">
        <v>1.0</v>
      </c>
      <c r="P73" s="5">
        <v>2436.18</v>
      </c>
      <c r="Q73" s="5">
        <v>15.0</v>
      </c>
      <c r="R73" s="5">
        <v>0.0</v>
      </c>
      <c r="S73" s="5">
        <v>0.0</v>
      </c>
      <c r="T73" s="5">
        <v>4.138</v>
      </c>
    </row>
    <row r="74" ht="12.0" customHeight="1">
      <c r="A74" s="5" t="s">
        <v>257</v>
      </c>
      <c r="B74" s="5" t="s">
        <v>467</v>
      </c>
      <c r="C74" s="5" t="s">
        <v>461</v>
      </c>
      <c r="D74" s="5" t="s">
        <v>26</v>
      </c>
      <c r="E74" s="5">
        <v>376374.695</v>
      </c>
      <c r="F74" s="5">
        <v>9897787.733</v>
      </c>
      <c r="G74" s="5">
        <v>-0.9245706312908826</v>
      </c>
      <c r="H74" s="5">
        <v>133.88893697142862</v>
      </c>
      <c r="I74" s="5" t="s">
        <v>470</v>
      </c>
      <c r="J74" s="5">
        <v>2.0</v>
      </c>
      <c r="K74" s="5">
        <v>378.865</v>
      </c>
      <c r="L74" s="5">
        <v>118.03</v>
      </c>
      <c r="M74" s="5" t="s">
        <v>175</v>
      </c>
      <c r="N74" s="5">
        <v>32.87</v>
      </c>
      <c r="O74" s="5">
        <v>1.0</v>
      </c>
      <c r="P74" s="5">
        <v>2824.39</v>
      </c>
      <c r="Q74" s="5">
        <v>15.0</v>
      </c>
      <c r="R74" s="5">
        <v>0.0</v>
      </c>
      <c r="S74" s="5">
        <v>0.0</v>
      </c>
      <c r="T74" s="5">
        <v>4.071</v>
      </c>
    </row>
    <row r="75" ht="12.0" customHeight="1">
      <c r="A75" s="5" t="s">
        <v>260</v>
      </c>
      <c r="B75" s="5" t="s">
        <v>467</v>
      </c>
      <c r="C75" s="5" t="s">
        <v>461</v>
      </c>
      <c r="D75" s="5" t="s">
        <v>26</v>
      </c>
      <c r="E75" s="5">
        <v>376095.231</v>
      </c>
      <c r="F75" s="5">
        <v>9898024.828</v>
      </c>
      <c r="G75" s="5">
        <v>-0.922425179905149</v>
      </c>
      <c r="H75" s="5">
        <v>133.88642631817706</v>
      </c>
      <c r="I75" s="5" t="s">
        <v>123</v>
      </c>
      <c r="J75" s="5">
        <v>3.0</v>
      </c>
      <c r="K75" s="5">
        <v>381.514</v>
      </c>
      <c r="L75" s="5">
        <v>117.08</v>
      </c>
      <c r="M75" s="5" t="s">
        <v>175</v>
      </c>
      <c r="N75" s="5">
        <v>31.62</v>
      </c>
      <c r="O75" s="5">
        <v>1.0</v>
      </c>
      <c r="P75" s="5">
        <v>3188.99</v>
      </c>
      <c r="Q75" s="5">
        <v>13.0</v>
      </c>
      <c r="R75" s="5">
        <v>0.0</v>
      </c>
      <c r="S75" s="5">
        <v>0.0</v>
      </c>
      <c r="T75" s="5">
        <v>3.7369999999999997</v>
      </c>
    </row>
    <row r="76" ht="12.0" customHeight="1">
      <c r="A76" s="5" t="s">
        <v>263</v>
      </c>
      <c r="B76" s="5" t="s">
        <v>467</v>
      </c>
      <c r="C76" s="5" t="s">
        <v>461</v>
      </c>
      <c r="D76" s="5" t="s">
        <v>26</v>
      </c>
      <c r="E76" s="5">
        <v>375791.536</v>
      </c>
      <c r="F76" s="5">
        <v>9898282.452</v>
      </c>
      <c r="G76" s="5">
        <v>-0.9200939654650935</v>
      </c>
      <c r="H76" s="5">
        <v>133.88369798208402</v>
      </c>
      <c r="I76" s="5" t="s">
        <v>470</v>
      </c>
      <c r="J76" s="5">
        <v>2.0</v>
      </c>
      <c r="K76" s="5">
        <v>383.25</v>
      </c>
      <c r="L76" s="5">
        <v>113.06</v>
      </c>
      <c r="M76" s="5" t="s">
        <v>175</v>
      </c>
      <c r="N76" s="5">
        <v>24.14</v>
      </c>
      <c r="O76" s="5">
        <v>1.0</v>
      </c>
      <c r="P76" s="5">
        <v>3537.71</v>
      </c>
      <c r="Q76" s="5">
        <v>15.0</v>
      </c>
      <c r="R76" s="5">
        <v>0.0</v>
      </c>
      <c r="S76" s="5">
        <v>0.0</v>
      </c>
      <c r="T76" s="5">
        <v>4.107</v>
      </c>
    </row>
    <row r="77" ht="12.0" customHeight="1">
      <c r="A77" s="5" t="s">
        <v>266</v>
      </c>
      <c r="B77" s="5" t="s">
        <v>467</v>
      </c>
      <c r="C77" s="5" t="s">
        <v>461</v>
      </c>
      <c r="D77" s="5" t="s">
        <v>26</v>
      </c>
      <c r="E77" s="5">
        <v>375500.846</v>
      </c>
      <c r="F77" s="5">
        <v>9898529.019</v>
      </c>
      <c r="G77" s="5">
        <v>-0.9178628067382684</v>
      </c>
      <c r="H77" s="5">
        <v>133.8810864842666</v>
      </c>
      <c r="I77" s="5" t="s">
        <v>470</v>
      </c>
      <c r="J77" s="5">
        <v>2.0</v>
      </c>
      <c r="K77" s="5">
        <v>381.155</v>
      </c>
      <c r="L77" s="5">
        <v>104.87</v>
      </c>
      <c r="M77" s="5" t="s">
        <v>109</v>
      </c>
      <c r="N77" s="5">
        <v>33.4</v>
      </c>
      <c r="O77" s="5">
        <v>1.0</v>
      </c>
      <c r="P77" s="5">
        <v>142.84</v>
      </c>
      <c r="Q77" s="5">
        <v>15.0</v>
      </c>
      <c r="R77" s="5">
        <v>1.0</v>
      </c>
      <c r="S77" s="5">
        <v>0.0</v>
      </c>
      <c r="T77" s="5">
        <v>3.773</v>
      </c>
    </row>
    <row r="78" ht="12.0" customHeight="1">
      <c r="A78" s="5" t="s">
        <v>269</v>
      </c>
      <c r="B78" s="5" t="s">
        <v>471</v>
      </c>
      <c r="C78" s="5" t="s">
        <v>461</v>
      </c>
      <c r="D78" s="5" t="s">
        <v>26</v>
      </c>
      <c r="E78" s="5">
        <v>375270.18</v>
      </c>
      <c r="F78" s="5">
        <v>9898850.623</v>
      </c>
      <c r="G78" s="5">
        <v>-0.9149530691434549</v>
      </c>
      <c r="H78" s="5">
        <v>133.87901458607246</v>
      </c>
      <c r="I78" s="5" t="s">
        <v>470</v>
      </c>
      <c r="J78" s="5">
        <v>2.0</v>
      </c>
      <c r="K78" s="5">
        <v>383.945</v>
      </c>
      <c r="L78" s="5">
        <v>99.0</v>
      </c>
      <c r="M78" s="5" t="s">
        <v>109</v>
      </c>
      <c r="N78" s="5">
        <v>137.61</v>
      </c>
      <c r="O78" s="5">
        <v>2.0</v>
      </c>
      <c r="P78" s="5">
        <v>2883.78</v>
      </c>
      <c r="Q78" s="5">
        <v>15.0</v>
      </c>
      <c r="R78" s="5">
        <v>1.0</v>
      </c>
      <c r="S78" s="5">
        <v>0.0</v>
      </c>
      <c r="T78" s="5">
        <v>3.2590000000000003</v>
      </c>
    </row>
    <row r="79" ht="12.0" customHeight="1">
      <c r="A79" s="5" t="s">
        <v>273</v>
      </c>
      <c r="B79" s="5" t="s">
        <v>471</v>
      </c>
      <c r="C79" s="5" t="s">
        <v>461</v>
      </c>
      <c r="D79" s="5" t="s">
        <v>26</v>
      </c>
      <c r="E79" s="5">
        <v>374978.839</v>
      </c>
      <c r="F79" s="5">
        <v>9899097.73</v>
      </c>
      <c r="G79" s="5">
        <v>-0.9127170286834815</v>
      </c>
      <c r="H79" s="5">
        <v>133.87639724672968</v>
      </c>
      <c r="I79" s="5" t="s">
        <v>470</v>
      </c>
      <c r="J79" s="5">
        <v>2.0</v>
      </c>
      <c r="K79" s="5">
        <v>382.023</v>
      </c>
      <c r="L79" s="5">
        <v>93.39</v>
      </c>
      <c r="M79" s="5" t="s">
        <v>175</v>
      </c>
      <c r="N79" s="5">
        <v>137.62</v>
      </c>
      <c r="O79" s="5">
        <v>1.0</v>
      </c>
      <c r="P79" s="5">
        <v>2628.44</v>
      </c>
      <c r="Q79" s="5">
        <v>15.0</v>
      </c>
      <c r="R79" s="5">
        <v>0.0</v>
      </c>
      <c r="S79" s="5">
        <v>0.0</v>
      </c>
      <c r="T79" s="5">
        <v>4.232000000000001</v>
      </c>
    </row>
    <row r="80" ht="12.0" customHeight="1">
      <c r="A80" s="5" t="s">
        <v>276</v>
      </c>
      <c r="B80" s="5" t="s">
        <v>471</v>
      </c>
      <c r="C80" s="5" t="s">
        <v>461</v>
      </c>
      <c r="D80" s="5" t="s">
        <v>26</v>
      </c>
      <c r="E80" s="5">
        <v>374687.519</v>
      </c>
      <c r="F80" s="5">
        <v>9899344.888</v>
      </c>
      <c r="G80" s="5">
        <v>-0.910480529048236</v>
      </c>
      <c r="H80" s="5">
        <v>133.873780100133</v>
      </c>
      <c r="I80" s="5" t="s">
        <v>123</v>
      </c>
      <c r="J80" s="5">
        <v>3.0</v>
      </c>
      <c r="K80" s="5">
        <v>382.022</v>
      </c>
      <c r="L80" s="5">
        <v>90.62</v>
      </c>
      <c r="M80" s="5" t="s">
        <v>175</v>
      </c>
      <c r="N80" s="5">
        <v>141.41</v>
      </c>
      <c r="O80" s="5">
        <v>1.0</v>
      </c>
      <c r="P80" s="5">
        <v>2462.63</v>
      </c>
      <c r="Q80" s="5">
        <v>13.0</v>
      </c>
      <c r="R80" s="5">
        <v>0.0</v>
      </c>
      <c r="S80" s="5">
        <v>0.0</v>
      </c>
      <c r="T80" s="5">
        <v>3.862</v>
      </c>
    </row>
    <row r="81" ht="12.0" customHeight="1">
      <c r="A81" s="5" t="s">
        <v>280</v>
      </c>
      <c r="B81" s="5" t="s">
        <v>471</v>
      </c>
      <c r="C81" s="5" t="s">
        <v>461</v>
      </c>
      <c r="D81" s="5" t="s">
        <v>26</v>
      </c>
      <c r="E81" s="5">
        <v>374402.765</v>
      </c>
      <c r="F81" s="5">
        <v>9899586.469</v>
      </c>
      <c r="G81" s="5">
        <v>-0.9082944969494883</v>
      </c>
      <c r="H81" s="5">
        <v>133.87122194459005</v>
      </c>
      <c r="I81" s="5" t="s">
        <v>123</v>
      </c>
      <c r="J81" s="5">
        <v>3.0</v>
      </c>
      <c r="K81" s="5">
        <v>373.46</v>
      </c>
      <c r="L81" s="5">
        <v>87.75</v>
      </c>
      <c r="M81" s="5" t="s">
        <v>175</v>
      </c>
      <c r="N81" s="5">
        <v>143.04</v>
      </c>
      <c r="O81" s="5">
        <v>1.0</v>
      </c>
      <c r="P81" s="5">
        <v>2435.17</v>
      </c>
      <c r="Q81" s="5">
        <v>13.0</v>
      </c>
      <c r="R81" s="5">
        <v>0.0</v>
      </c>
      <c r="S81" s="5">
        <v>0.0</v>
      </c>
      <c r="T81" s="5">
        <v>3.862</v>
      </c>
    </row>
    <row r="82" ht="12.0" customHeight="1">
      <c r="A82" s="5" t="s">
        <v>283</v>
      </c>
      <c r="B82" s="5" t="s">
        <v>471</v>
      </c>
      <c r="C82" s="5" t="s">
        <v>461</v>
      </c>
      <c r="D82" s="5" t="s">
        <v>26</v>
      </c>
      <c r="E82" s="5">
        <v>374119.658</v>
      </c>
      <c r="F82" s="5">
        <v>9899826.642</v>
      </c>
      <c r="G82" s="5">
        <v>-0.9061212076109525</v>
      </c>
      <c r="H82" s="5">
        <v>133.8686785889107</v>
      </c>
      <c r="I82" s="5" t="s">
        <v>123</v>
      </c>
      <c r="J82" s="5">
        <v>3.0</v>
      </c>
      <c r="K82" s="5">
        <v>371.198</v>
      </c>
      <c r="L82" s="5">
        <v>84.03</v>
      </c>
      <c r="M82" s="5" t="s">
        <v>175</v>
      </c>
      <c r="N82" s="5">
        <v>143.97</v>
      </c>
      <c r="O82" s="5">
        <v>1.0</v>
      </c>
      <c r="P82" s="5">
        <v>2175.36</v>
      </c>
      <c r="Q82" s="5">
        <v>13.0</v>
      </c>
      <c r="R82" s="5">
        <v>0.0</v>
      </c>
      <c r="S82" s="5">
        <v>0.0</v>
      </c>
      <c r="T82" s="5">
        <v>3.826</v>
      </c>
    </row>
    <row r="83" ht="12.0" customHeight="1">
      <c r="A83" s="5" t="s">
        <v>287</v>
      </c>
      <c r="B83" s="5" t="s">
        <v>471</v>
      </c>
      <c r="C83" s="5" t="s">
        <v>461</v>
      </c>
      <c r="D83" s="5" t="s">
        <v>26</v>
      </c>
      <c r="E83" s="5">
        <v>373878.694</v>
      </c>
      <c r="F83" s="5">
        <v>9900031.028</v>
      </c>
      <c r="G83" s="5">
        <v>-0.9042717509173458</v>
      </c>
      <c r="H83" s="5">
        <v>133.86651383717512</v>
      </c>
      <c r="I83" s="5" t="s">
        <v>454</v>
      </c>
      <c r="J83" s="5">
        <v>3.0</v>
      </c>
      <c r="K83" s="5">
        <v>316.007</v>
      </c>
      <c r="L83" s="5">
        <v>79.67</v>
      </c>
      <c r="M83" s="5" t="s">
        <v>109</v>
      </c>
      <c r="N83" s="5">
        <v>122.04</v>
      </c>
      <c r="O83" s="5">
        <v>2.0</v>
      </c>
      <c r="P83" s="5">
        <v>161.45</v>
      </c>
      <c r="Q83" s="5">
        <v>7.0</v>
      </c>
      <c r="R83" s="5">
        <v>1.0</v>
      </c>
      <c r="S83" s="5">
        <v>0.0</v>
      </c>
      <c r="T83" s="5">
        <v>3.076</v>
      </c>
    </row>
    <row r="84" ht="12.0" customHeight="1">
      <c r="A84" s="5" t="s">
        <v>290</v>
      </c>
      <c r="B84" s="5" t="s">
        <v>471</v>
      </c>
      <c r="C84" s="5" t="s">
        <v>461</v>
      </c>
      <c r="D84" s="5" t="s">
        <v>26</v>
      </c>
      <c r="E84" s="5">
        <v>373588.33</v>
      </c>
      <c r="F84" s="5">
        <v>9900277.343</v>
      </c>
      <c r="G84" s="5">
        <v>-0.9020428873522722</v>
      </c>
      <c r="H84" s="5">
        <v>133.8639052935475</v>
      </c>
      <c r="I84" s="5" t="s">
        <v>454</v>
      </c>
      <c r="J84" s="5">
        <v>3.0</v>
      </c>
      <c r="K84" s="5">
        <v>380.725</v>
      </c>
      <c r="L84" s="5">
        <v>78.0</v>
      </c>
      <c r="M84" s="5" t="s">
        <v>175</v>
      </c>
      <c r="N84" s="5">
        <v>128.16</v>
      </c>
      <c r="O84" s="5">
        <v>1.0</v>
      </c>
      <c r="P84" s="5">
        <v>1839.36</v>
      </c>
      <c r="Q84" s="5">
        <v>7.0</v>
      </c>
      <c r="R84" s="5">
        <v>0.0</v>
      </c>
      <c r="S84" s="5">
        <v>0.0</v>
      </c>
      <c r="T84" s="5">
        <v>3.826</v>
      </c>
    </row>
    <row r="85" ht="12.0" customHeight="1">
      <c r="A85" s="5" t="s">
        <v>293</v>
      </c>
      <c r="B85" s="5" t="s">
        <v>471</v>
      </c>
      <c r="C85" s="5" t="s">
        <v>461</v>
      </c>
      <c r="D85" s="5" t="s">
        <v>26</v>
      </c>
      <c r="E85" s="5">
        <v>373298.031</v>
      </c>
      <c r="F85" s="5">
        <v>9900523.638</v>
      </c>
      <c r="G85" s="5">
        <v>-0.8998142070218011</v>
      </c>
      <c r="H85" s="5">
        <v>133.8612973377956</v>
      </c>
      <c r="I85" s="5" t="s">
        <v>454</v>
      </c>
      <c r="J85" s="5">
        <v>3.0</v>
      </c>
      <c r="K85" s="5">
        <v>380.721</v>
      </c>
      <c r="L85" s="5">
        <v>73.45</v>
      </c>
      <c r="M85" s="5" t="s">
        <v>175</v>
      </c>
      <c r="N85" s="5">
        <v>125.91</v>
      </c>
      <c r="O85" s="5">
        <v>1.0</v>
      </c>
      <c r="P85" s="5">
        <v>1441.6</v>
      </c>
      <c r="Q85" s="5">
        <v>7.0</v>
      </c>
      <c r="R85" s="5">
        <v>0.0</v>
      </c>
      <c r="S85" s="5">
        <v>0.0</v>
      </c>
      <c r="T85" s="5">
        <v>3.826</v>
      </c>
    </row>
    <row r="86" ht="12.0" customHeight="1">
      <c r="A86" s="5" t="s">
        <v>296</v>
      </c>
      <c r="B86" s="5" t="s">
        <v>471</v>
      </c>
      <c r="C86" s="5" t="s">
        <v>461</v>
      </c>
      <c r="D86" s="5" t="s">
        <v>26</v>
      </c>
      <c r="E86" s="5">
        <v>373005.743</v>
      </c>
      <c r="F86" s="5">
        <v>9900771.572</v>
      </c>
      <c r="G86" s="5">
        <v>-0.8975706976823539</v>
      </c>
      <c r="H86" s="5">
        <v>133.85867151722064</v>
      </c>
      <c r="I86" s="5" t="s">
        <v>454</v>
      </c>
      <c r="J86" s="5">
        <v>3.0</v>
      </c>
      <c r="K86" s="5">
        <v>383.324</v>
      </c>
      <c r="L86" s="5">
        <v>68.54</v>
      </c>
      <c r="M86" s="5" t="s">
        <v>175</v>
      </c>
      <c r="N86" s="5">
        <v>181.99</v>
      </c>
      <c r="O86" s="5">
        <v>1.0</v>
      </c>
      <c r="P86" s="5">
        <v>1080.51</v>
      </c>
      <c r="Q86" s="5">
        <v>7.0</v>
      </c>
      <c r="R86" s="5">
        <v>0.0</v>
      </c>
      <c r="S86" s="5">
        <v>0.0</v>
      </c>
      <c r="T86" s="5">
        <v>3.74</v>
      </c>
    </row>
    <row r="87" ht="12.0" customHeight="1">
      <c r="A87" s="5" t="s">
        <v>299</v>
      </c>
      <c r="B87" s="5" t="s">
        <v>472</v>
      </c>
      <c r="C87" s="5" t="s">
        <v>461</v>
      </c>
      <c r="D87" s="5" t="s">
        <v>26</v>
      </c>
      <c r="E87" s="5">
        <v>372744.468</v>
      </c>
      <c r="F87" s="5">
        <v>9900993.235</v>
      </c>
      <c r="G87" s="5">
        <v>-0.8955649117883829</v>
      </c>
      <c r="H87" s="5">
        <v>133.8563243107588</v>
      </c>
      <c r="I87" s="5" t="s">
        <v>454</v>
      </c>
      <c r="J87" s="5">
        <v>3.0</v>
      </c>
      <c r="K87" s="5">
        <v>342.638</v>
      </c>
      <c r="L87" s="5">
        <v>65.36</v>
      </c>
      <c r="M87" s="5" t="s">
        <v>175</v>
      </c>
      <c r="N87" s="5">
        <v>173.27</v>
      </c>
      <c r="O87" s="5">
        <v>1.0</v>
      </c>
      <c r="P87" s="5">
        <v>732.17</v>
      </c>
      <c r="Q87" s="5">
        <v>7.0</v>
      </c>
      <c r="R87" s="5">
        <v>0.0</v>
      </c>
      <c r="S87" s="5">
        <v>0.0</v>
      </c>
      <c r="T87" s="5">
        <v>3.857</v>
      </c>
    </row>
    <row r="88" ht="12.0" customHeight="1">
      <c r="A88" s="5" t="s">
        <v>302</v>
      </c>
      <c r="B88" s="5" t="s">
        <v>472</v>
      </c>
      <c r="C88" s="5" t="s">
        <v>461</v>
      </c>
      <c r="D88" s="5" t="s">
        <v>26</v>
      </c>
      <c r="E88" s="5">
        <v>372487.475</v>
      </c>
      <c r="F88" s="5">
        <v>9901211.209</v>
      </c>
      <c r="G88" s="5">
        <v>-0.8935925084827406</v>
      </c>
      <c r="H88" s="5">
        <v>133.85401557519987</v>
      </c>
      <c r="I88" s="5" t="s">
        <v>454</v>
      </c>
      <c r="J88" s="5">
        <v>3.0</v>
      </c>
      <c r="K88" s="5">
        <v>336.974</v>
      </c>
      <c r="L88" s="5">
        <v>62.19</v>
      </c>
      <c r="M88" s="5" t="s">
        <v>175</v>
      </c>
      <c r="N88" s="5">
        <v>200.94</v>
      </c>
      <c r="O88" s="5">
        <v>1.0</v>
      </c>
      <c r="P88" s="5">
        <v>407.68</v>
      </c>
      <c r="Q88" s="5">
        <v>7.0</v>
      </c>
      <c r="R88" s="5">
        <v>0.0</v>
      </c>
      <c r="S88" s="5">
        <v>0.0</v>
      </c>
      <c r="T88" s="5">
        <v>3.8380000000000005</v>
      </c>
    </row>
    <row r="89" ht="12.0" customHeight="1">
      <c r="A89" s="5" t="s">
        <v>305</v>
      </c>
      <c r="B89" s="5" t="s">
        <v>473</v>
      </c>
      <c r="C89" s="5" t="s">
        <v>461</v>
      </c>
      <c r="D89" s="5" t="s">
        <v>26</v>
      </c>
      <c r="E89" s="5">
        <v>372235.353</v>
      </c>
      <c r="F89" s="5">
        <v>9901425.094</v>
      </c>
      <c r="G89" s="5">
        <v>-0.8916571075351504</v>
      </c>
      <c r="H89" s="5">
        <v>133.8517506020297</v>
      </c>
      <c r="I89" s="5" t="s">
        <v>123</v>
      </c>
      <c r="J89" s="5">
        <v>3.0</v>
      </c>
      <c r="K89" s="5">
        <v>330.631</v>
      </c>
      <c r="L89" s="5">
        <v>62.46</v>
      </c>
      <c r="M89" s="5" t="s">
        <v>109</v>
      </c>
      <c r="N89" s="5">
        <v>212.22</v>
      </c>
      <c r="O89" s="5">
        <v>2.0</v>
      </c>
      <c r="P89" s="5">
        <v>67.36</v>
      </c>
      <c r="Q89" s="5">
        <v>13.0</v>
      </c>
      <c r="R89" s="5">
        <v>1.0</v>
      </c>
      <c r="S89" s="5">
        <v>0.0</v>
      </c>
      <c r="T89" s="5">
        <v>3.0260000000000002</v>
      </c>
    </row>
    <row r="90" ht="12.0" customHeight="1">
      <c r="A90" s="5" t="s">
        <v>308</v>
      </c>
      <c r="B90" s="5" t="s">
        <v>473</v>
      </c>
      <c r="C90" s="5" t="s">
        <v>461</v>
      </c>
      <c r="D90" s="5" t="s">
        <v>26</v>
      </c>
      <c r="E90" s="5">
        <v>371958.552</v>
      </c>
      <c r="F90" s="5">
        <v>9901604.647</v>
      </c>
      <c r="G90" s="5">
        <v>-0.8900321871854008</v>
      </c>
      <c r="H90" s="5">
        <v>133.84926377000906</v>
      </c>
      <c r="I90" s="5" t="s">
        <v>454</v>
      </c>
      <c r="J90" s="5">
        <v>3.0</v>
      </c>
      <c r="K90" s="5">
        <v>329.944</v>
      </c>
      <c r="L90" s="5">
        <v>59.94</v>
      </c>
      <c r="M90" s="5" t="s">
        <v>109</v>
      </c>
      <c r="N90" s="5">
        <v>174.33</v>
      </c>
      <c r="O90" s="5">
        <v>2.0</v>
      </c>
      <c r="P90" s="5">
        <v>231.43</v>
      </c>
      <c r="Q90" s="5">
        <v>7.0</v>
      </c>
      <c r="R90" s="5">
        <v>1.0</v>
      </c>
      <c r="S90" s="5">
        <v>0.0</v>
      </c>
      <c r="T90" s="5">
        <v>3.076</v>
      </c>
    </row>
    <row r="91" ht="12.0" customHeight="1">
      <c r="A91" s="5" t="s">
        <v>311</v>
      </c>
      <c r="B91" s="5" t="s">
        <v>473</v>
      </c>
      <c r="C91" s="5" t="s">
        <v>461</v>
      </c>
      <c r="D91" s="5" t="s">
        <v>26</v>
      </c>
      <c r="E91" s="5">
        <v>371674.41</v>
      </c>
      <c r="F91" s="5">
        <v>9901740.67</v>
      </c>
      <c r="G91" s="5">
        <v>-0.8888009955553233</v>
      </c>
      <c r="H91" s="5">
        <v>133.8467108531685</v>
      </c>
      <c r="I91" s="5" t="s">
        <v>123</v>
      </c>
      <c r="J91" s="5">
        <v>3.0</v>
      </c>
      <c r="K91" s="5">
        <v>315.02</v>
      </c>
      <c r="L91" s="5">
        <v>59.76</v>
      </c>
      <c r="M91" s="5" t="s">
        <v>463</v>
      </c>
      <c r="N91" s="5">
        <v>115.3</v>
      </c>
      <c r="O91" s="5">
        <v>3.0</v>
      </c>
      <c r="P91" s="5">
        <v>528.49</v>
      </c>
      <c r="Q91" s="5">
        <v>13.0</v>
      </c>
      <c r="R91" s="5">
        <v>3.0</v>
      </c>
      <c r="S91" s="5">
        <v>0.0</v>
      </c>
      <c r="T91" s="5">
        <v>2.11</v>
      </c>
    </row>
    <row r="92" ht="12.0" customHeight="1">
      <c r="A92" s="5" t="s">
        <v>314</v>
      </c>
      <c r="B92" s="5" t="s">
        <v>473</v>
      </c>
      <c r="C92" s="5" t="s">
        <v>461</v>
      </c>
      <c r="D92" s="5" t="s">
        <v>26</v>
      </c>
      <c r="E92" s="5">
        <v>371369.883</v>
      </c>
      <c r="F92" s="5">
        <v>9901686.161</v>
      </c>
      <c r="G92" s="5">
        <v>-0.8892931921200988</v>
      </c>
      <c r="H92" s="5">
        <v>133.84397422494686</v>
      </c>
      <c r="I92" s="5" t="s">
        <v>474</v>
      </c>
      <c r="J92" s="5">
        <v>2.0</v>
      </c>
      <c r="K92" s="5">
        <v>309.347</v>
      </c>
      <c r="L92" s="5">
        <v>63.49</v>
      </c>
      <c r="M92" s="5" t="s">
        <v>175</v>
      </c>
      <c r="N92" s="5">
        <v>156.77</v>
      </c>
      <c r="O92" s="5">
        <v>1.0</v>
      </c>
      <c r="P92" s="5">
        <v>771.61</v>
      </c>
      <c r="Q92" s="5">
        <v>6.0</v>
      </c>
      <c r="R92" s="5">
        <v>0.0</v>
      </c>
      <c r="S92" s="5">
        <v>0.0</v>
      </c>
      <c r="T92" s="5">
        <v>4.2940000000000005</v>
      </c>
    </row>
    <row r="93" ht="12.0" customHeight="1">
      <c r="A93" s="5" t="s">
        <v>317</v>
      </c>
      <c r="B93" s="5" t="s">
        <v>473</v>
      </c>
      <c r="C93" s="5" t="s">
        <v>461</v>
      </c>
      <c r="D93" s="5" t="s">
        <v>26</v>
      </c>
      <c r="E93" s="5">
        <v>371036.355</v>
      </c>
      <c r="F93" s="5">
        <v>9901615.638</v>
      </c>
      <c r="G93" s="5">
        <v>-0.8899301567664959</v>
      </c>
      <c r="H93" s="5">
        <v>133.840976951146</v>
      </c>
      <c r="I93" s="5" t="s">
        <v>474</v>
      </c>
      <c r="J93" s="5">
        <v>2.0</v>
      </c>
      <c r="K93" s="5">
        <v>340.878</v>
      </c>
      <c r="L93" s="5">
        <v>66.95</v>
      </c>
      <c r="M93" s="5" t="s">
        <v>175</v>
      </c>
      <c r="N93" s="5">
        <v>247.05</v>
      </c>
      <c r="O93" s="5">
        <v>1.0</v>
      </c>
      <c r="P93" s="5">
        <v>730.24</v>
      </c>
      <c r="Q93" s="5">
        <v>6.0</v>
      </c>
      <c r="R93" s="5">
        <v>0.0</v>
      </c>
      <c r="S93" s="5">
        <v>0.0</v>
      </c>
      <c r="T93" s="5">
        <v>4.244000000000001</v>
      </c>
    </row>
    <row r="94" ht="12.0" customHeight="1">
      <c r="A94" s="5" t="s">
        <v>320</v>
      </c>
      <c r="B94" s="5" t="s">
        <v>473</v>
      </c>
      <c r="C94" s="5" t="s">
        <v>461</v>
      </c>
      <c r="D94" s="5" t="s">
        <v>26</v>
      </c>
      <c r="E94" s="5">
        <v>370675.055</v>
      </c>
      <c r="F94" s="5">
        <v>9901551.181</v>
      </c>
      <c r="G94" s="5">
        <v>-0.890512168890436</v>
      </c>
      <c r="H94" s="5">
        <v>133.83773013834266</v>
      </c>
      <c r="I94" s="5" t="s">
        <v>474</v>
      </c>
      <c r="J94" s="5">
        <v>2.0</v>
      </c>
      <c r="K94" s="5">
        <v>366.975</v>
      </c>
      <c r="L94" s="5">
        <v>76.03</v>
      </c>
      <c r="M94" s="5" t="s">
        <v>109</v>
      </c>
      <c r="N94" s="5">
        <v>79.27</v>
      </c>
      <c r="O94" s="5">
        <v>2.0</v>
      </c>
      <c r="P94" s="5">
        <v>593.33</v>
      </c>
      <c r="Q94" s="5">
        <v>6.0</v>
      </c>
      <c r="R94" s="5">
        <v>1.0</v>
      </c>
      <c r="S94" s="5">
        <v>0.0</v>
      </c>
      <c r="T94" s="5">
        <v>3.415</v>
      </c>
    </row>
    <row r="95" ht="12.0" customHeight="1">
      <c r="A95" s="5" t="s">
        <v>323</v>
      </c>
      <c r="B95" s="5" t="s">
        <v>473</v>
      </c>
      <c r="C95" s="5" t="s">
        <v>461</v>
      </c>
      <c r="D95" s="5" t="s">
        <v>26</v>
      </c>
      <c r="E95" s="5">
        <v>370329.601</v>
      </c>
      <c r="F95" s="5">
        <v>9901459.307</v>
      </c>
      <c r="G95" s="5">
        <v>-0.8913422200784172</v>
      </c>
      <c r="H95" s="5">
        <v>133.83462564165495</v>
      </c>
      <c r="I95" s="5" t="s">
        <v>123</v>
      </c>
      <c r="J95" s="5">
        <v>3.0</v>
      </c>
      <c r="K95" s="5">
        <v>357.507</v>
      </c>
      <c r="L95" s="5">
        <v>78.42</v>
      </c>
      <c r="M95" s="5" t="s">
        <v>175</v>
      </c>
      <c r="N95" s="5">
        <v>355.91</v>
      </c>
      <c r="O95" s="5">
        <v>1.0</v>
      </c>
      <c r="P95" s="5">
        <v>549.75</v>
      </c>
      <c r="Q95" s="5">
        <v>13.0</v>
      </c>
      <c r="R95" s="5">
        <v>0.0</v>
      </c>
      <c r="S95" s="5">
        <v>0.0</v>
      </c>
      <c r="T95" s="5">
        <v>3.8070000000000004</v>
      </c>
    </row>
    <row r="96" ht="12.0" customHeight="1">
      <c r="A96" s="5" t="s">
        <v>327</v>
      </c>
      <c r="B96" s="5" t="s">
        <v>473</v>
      </c>
      <c r="C96" s="5" t="s">
        <v>461</v>
      </c>
      <c r="D96" s="5" t="s">
        <v>26</v>
      </c>
      <c r="E96" s="5">
        <v>370008.578</v>
      </c>
      <c r="F96" s="5">
        <v>9901366.293</v>
      </c>
      <c r="G96" s="5">
        <v>-0.892182648717221</v>
      </c>
      <c r="H96" s="5">
        <v>133.8317406792358</v>
      </c>
      <c r="I96" s="5" t="s">
        <v>475</v>
      </c>
      <c r="J96" s="5">
        <v>3.0</v>
      </c>
      <c r="K96" s="5">
        <v>334.199</v>
      </c>
      <c r="L96" s="5">
        <v>80.74</v>
      </c>
      <c r="M96" s="5" t="s">
        <v>175</v>
      </c>
      <c r="N96" s="5">
        <v>116.14</v>
      </c>
      <c r="O96" s="5">
        <v>1.0</v>
      </c>
      <c r="P96" s="5">
        <v>493.36</v>
      </c>
      <c r="Q96" s="5">
        <v>16.0</v>
      </c>
      <c r="R96" s="5">
        <v>0.0</v>
      </c>
      <c r="S96" s="5">
        <v>0.0</v>
      </c>
      <c r="T96" s="5">
        <v>3.924</v>
      </c>
    </row>
    <row r="97" ht="12.0" customHeight="1">
      <c r="A97" s="5" t="s">
        <v>331</v>
      </c>
      <c r="B97" s="5" t="s">
        <v>476</v>
      </c>
      <c r="C97" s="5" t="s">
        <v>461</v>
      </c>
      <c r="D97" s="5" t="s">
        <v>26</v>
      </c>
      <c r="E97" s="5">
        <v>369677.051</v>
      </c>
      <c r="F97" s="5">
        <v>9901266.568</v>
      </c>
      <c r="G97" s="5">
        <v>-0.8930837466663554</v>
      </c>
      <c r="H97" s="5">
        <v>133.82876131069193</v>
      </c>
      <c r="I97" s="5" t="s">
        <v>475</v>
      </c>
      <c r="J97" s="5">
        <v>3.0</v>
      </c>
      <c r="K97" s="5">
        <v>346.211</v>
      </c>
      <c r="L97" s="5">
        <v>86.76</v>
      </c>
      <c r="M97" s="5" t="s">
        <v>109</v>
      </c>
      <c r="N97" s="5">
        <v>192.61</v>
      </c>
      <c r="O97" s="5">
        <v>2.0</v>
      </c>
      <c r="P97" s="5">
        <v>519.13</v>
      </c>
      <c r="Q97" s="5">
        <v>16.0</v>
      </c>
      <c r="R97" s="5">
        <v>1.0</v>
      </c>
      <c r="S97" s="5">
        <v>0.0</v>
      </c>
      <c r="T97" s="5">
        <v>2.995</v>
      </c>
    </row>
    <row r="98" ht="12.0" customHeight="1">
      <c r="A98" s="5" t="s">
        <v>337</v>
      </c>
      <c r="B98" s="5" t="s">
        <v>477</v>
      </c>
      <c r="C98" s="5" t="s">
        <v>461</v>
      </c>
      <c r="D98" s="5" t="s">
        <v>26</v>
      </c>
      <c r="E98" s="5">
        <v>369393.448</v>
      </c>
      <c r="F98" s="5">
        <v>9901087.199</v>
      </c>
      <c r="G98" s="5">
        <v>-0.8947053891234592</v>
      </c>
      <c r="H98" s="5">
        <v>133.8262123566567</v>
      </c>
      <c r="I98" s="5" t="s">
        <v>475</v>
      </c>
      <c r="J98" s="5">
        <v>3.0</v>
      </c>
      <c r="K98" s="5">
        <v>335.55</v>
      </c>
      <c r="L98" s="5">
        <v>93.0</v>
      </c>
      <c r="M98" s="5" t="s">
        <v>109</v>
      </c>
      <c r="N98" s="5">
        <v>156.29</v>
      </c>
      <c r="O98" s="5">
        <v>2.0</v>
      </c>
      <c r="P98" s="5">
        <v>403.6</v>
      </c>
      <c r="Q98" s="5">
        <v>16.0</v>
      </c>
      <c r="R98" s="5">
        <v>1.0</v>
      </c>
      <c r="S98" s="5">
        <v>0.0</v>
      </c>
      <c r="T98" s="5">
        <v>3.076</v>
      </c>
    </row>
    <row r="99" ht="12.0" customHeight="1">
      <c r="A99" s="5" t="s">
        <v>342</v>
      </c>
      <c r="B99" s="5" t="s">
        <v>477</v>
      </c>
      <c r="C99" s="5" t="s">
        <v>461</v>
      </c>
      <c r="D99" s="5" t="s">
        <v>26</v>
      </c>
      <c r="E99" s="5">
        <v>369057.801</v>
      </c>
      <c r="F99" s="5">
        <v>9900897.566</v>
      </c>
      <c r="G99" s="5">
        <v>-0.8964197172441603</v>
      </c>
      <c r="H99" s="5">
        <v>133.82319570829034</v>
      </c>
      <c r="I99" s="5" t="s">
        <v>470</v>
      </c>
      <c r="J99" s="5">
        <v>2.0</v>
      </c>
      <c r="K99" s="5">
        <v>385.546</v>
      </c>
      <c r="L99" s="5">
        <v>100.78</v>
      </c>
      <c r="M99" s="5" t="s">
        <v>463</v>
      </c>
      <c r="N99" s="5">
        <v>165.25</v>
      </c>
      <c r="O99" s="5">
        <v>3.0</v>
      </c>
      <c r="P99" s="5">
        <v>413.47</v>
      </c>
      <c r="Q99" s="5">
        <v>15.0</v>
      </c>
      <c r="R99" s="5">
        <v>3.0</v>
      </c>
      <c r="S99" s="5">
        <v>0.0</v>
      </c>
      <c r="T99" s="5">
        <v>2.1489999999999996</v>
      </c>
    </row>
    <row r="100" ht="12.0" customHeight="1">
      <c r="A100" s="5" t="s">
        <v>347</v>
      </c>
      <c r="B100" s="5" t="s">
        <v>477</v>
      </c>
      <c r="C100" s="5" t="s">
        <v>461</v>
      </c>
      <c r="D100" s="5" t="s">
        <v>26</v>
      </c>
      <c r="E100" s="5">
        <v>368748.62</v>
      </c>
      <c r="F100" s="5">
        <v>9901006.351</v>
      </c>
      <c r="G100" s="5">
        <v>-0.8954348177740856</v>
      </c>
      <c r="H100" s="5">
        <v>133.82041774506345</v>
      </c>
      <c r="I100" s="5" t="s">
        <v>470</v>
      </c>
      <c r="J100" s="5">
        <v>2.0</v>
      </c>
      <c r="K100" s="5">
        <v>327.719</v>
      </c>
      <c r="L100" s="5">
        <v>95.07</v>
      </c>
      <c r="M100" s="5" t="s">
        <v>132</v>
      </c>
      <c r="N100" s="5">
        <v>102.58</v>
      </c>
      <c r="O100" s="5">
        <v>3.0</v>
      </c>
      <c r="P100" s="5">
        <v>658.95</v>
      </c>
      <c r="Q100" s="5">
        <v>15.0</v>
      </c>
      <c r="R100" s="5">
        <v>2.0</v>
      </c>
      <c r="S100" s="5">
        <v>0.0</v>
      </c>
      <c r="T100" s="5">
        <v>2.6699999999999995</v>
      </c>
    </row>
    <row r="101" ht="12.0" customHeight="1">
      <c r="A101" s="5" t="s">
        <v>350</v>
      </c>
      <c r="B101" s="5" t="s">
        <v>477</v>
      </c>
      <c r="C101" s="5" t="s">
        <v>461</v>
      </c>
      <c r="D101" s="5" t="s">
        <v>26</v>
      </c>
      <c r="E101" s="5">
        <v>368469.517</v>
      </c>
      <c r="F101" s="5">
        <v>9901243.031</v>
      </c>
      <c r="G101" s="5">
        <v>-0.8932931503591115</v>
      </c>
      <c r="H101" s="5">
        <v>133.8179104338925</v>
      </c>
      <c r="I101" s="5" t="s">
        <v>470</v>
      </c>
      <c r="J101" s="5">
        <v>2.0</v>
      </c>
      <c r="K101" s="5">
        <v>366.827</v>
      </c>
      <c r="L101" s="5">
        <v>98.6</v>
      </c>
      <c r="M101" s="5" t="s">
        <v>175</v>
      </c>
      <c r="N101" s="5">
        <v>107.64</v>
      </c>
      <c r="O101" s="5">
        <v>1.0</v>
      </c>
      <c r="P101" s="5">
        <v>934.23</v>
      </c>
      <c r="Q101" s="5">
        <v>15.0</v>
      </c>
      <c r="R101" s="5">
        <v>0.0</v>
      </c>
      <c r="S101" s="5">
        <v>0.0</v>
      </c>
      <c r="T101" s="5">
        <v>4.227</v>
      </c>
    </row>
    <row r="102" ht="12.0" customHeight="1">
      <c r="A102" s="5" t="s">
        <v>354</v>
      </c>
      <c r="B102" s="5" t="s">
        <v>478</v>
      </c>
      <c r="C102" s="5" t="s">
        <v>461</v>
      </c>
      <c r="D102" s="5" t="s">
        <v>26</v>
      </c>
      <c r="E102" s="5">
        <v>368175.397</v>
      </c>
      <c r="F102" s="5">
        <v>9901492.178</v>
      </c>
      <c r="G102" s="5">
        <v>-0.8910386730908153</v>
      </c>
      <c r="H102" s="5">
        <v>133.81526822113423</v>
      </c>
      <c r="I102" s="5" t="s">
        <v>123</v>
      </c>
      <c r="J102" s="5">
        <v>3.0</v>
      </c>
      <c r="K102" s="5">
        <v>384.637</v>
      </c>
      <c r="L102" s="5">
        <v>96.41</v>
      </c>
      <c r="M102" s="5" t="s">
        <v>175</v>
      </c>
      <c r="N102" s="5">
        <v>128.47</v>
      </c>
      <c r="O102" s="5">
        <v>1.0</v>
      </c>
      <c r="P102" s="5">
        <v>1260.2</v>
      </c>
      <c r="Q102" s="5">
        <v>13.0</v>
      </c>
      <c r="R102" s="5">
        <v>0.0</v>
      </c>
      <c r="S102" s="5">
        <v>0.0</v>
      </c>
      <c r="T102" s="5">
        <v>3.79</v>
      </c>
    </row>
    <row r="103" ht="12.0" customHeight="1">
      <c r="A103" s="5" t="s">
        <v>359</v>
      </c>
      <c r="B103" s="5" t="s">
        <v>478</v>
      </c>
      <c r="C103" s="5" t="s">
        <v>461</v>
      </c>
      <c r="D103" s="5" t="s">
        <v>26</v>
      </c>
      <c r="E103" s="5">
        <v>367893.23</v>
      </c>
      <c r="F103" s="5">
        <v>9901731.405</v>
      </c>
      <c r="G103" s="5">
        <v>-0.8888739627114483</v>
      </c>
      <c r="H103" s="5">
        <v>133.8127333918565</v>
      </c>
      <c r="I103" s="5" t="s">
        <v>470</v>
      </c>
      <c r="J103" s="5">
        <v>2.0</v>
      </c>
      <c r="K103" s="5">
        <v>369.863</v>
      </c>
      <c r="L103" s="5">
        <v>96.99</v>
      </c>
      <c r="M103" s="5" t="s">
        <v>175</v>
      </c>
      <c r="N103" s="5">
        <v>130.62</v>
      </c>
      <c r="O103" s="5">
        <v>1.0</v>
      </c>
      <c r="P103" s="5">
        <v>1310.02</v>
      </c>
      <c r="Q103" s="5">
        <v>15.0</v>
      </c>
      <c r="R103" s="5">
        <v>0.0</v>
      </c>
      <c r="S103" s="5">
        <v>0.0</v>
      </c>
      <c r="T103" s="5">
        <v>4.227</v>
      </c>
    </row>
    <row r="104" ht="12.0" customHeight="1">
      <c r="A104" s="5" t="s">
        <v>363</v>
      </c>
      <c r="B104" s="5" t="s">
        <v>478</v>
      </c>
      <c r="C104" s="5" t="s">
        <v>461</v>
      </c>
      <c r="D104" s="5" t="s">
        <v>26</v>
      </c>
      <c r="E104" s="5">
        <v>367644.41</v>
      </c>
      <c r="F104" s="5">
        <v>9901942.238</v>
      </c>
      <c r="G104" s="5">
        <v>-0.8869661845617959</v>
      </c>
      <c r="H104" s="5">
        <v>133.81049813587276</v>
      </c>
      <c r="I104" s="5" t="s">
        <v>123</v>
      </c>
      <c r="J104" s="5">
        <v>3.0</v>
      </c>
      <c r="K104" s="5">
        <v>326.136</v>
      </c>
      <c r="L104" s="5">
        <v>93.69</v>
      </c>
      <c r="M104" s="5" t="s">
        <v>175</v>
      </c>
      <c r="N104" s="5">
        <v>15.36</v>
      </c>
      <c r="O104" s="5">
        <v>1.0</v>
      </c>
      <c r="P104" s="5">
        <v>995.63</v>
      </c>
      <c r="Q104" s="5">
        <v>13.0</v>
      </c>
      <c r="R104" s="5">
        <v>0.0</v>
      </c>
      <c r="S104" s="5">
        <v>0.0</v>
      </c>
      <c r="T104" s="5">
        <v>3.924</v>
      </c>
    </row>
    <row r="105" ht="12.0" customHeight="1">
      <c r="A105" s="5" t="s">
        <v>367</v>
      </c>
      <c r="B105" s="5" t="s">
        <v>478</v>
      </c>
      <c r="C105" s="5" t="s">
        <v>461</v>
      </c>
      <c r="D105" s="5" t="s">
        <v>26</v>
      </c>
      <c r="E105" s="5">
        <v>367325.385</v>
      </c>
      <c r="F105" s="5">
        <v>9902212.654</v>
      </c>
      <c r="G105" s="5">
        <v>-0.8845192567479147</v>
      </c>
      <c r="H105" s="5">
        <v>133.80763220286428</v>
      </c>
      <c r="I105" s="5" t="s">
        <v>123</v>
      </c>
      <c r="J105" s="5">
        <v>3.0</v>
      </c>
      <c r="K105" s="5">
        <v>388.293</v>
      </c>
      <c r="L105" s="5">
        <v>93.09</v>
      </c>
      <c r="M105" s="5" t="s">
        <v>175</v>
      </c>
      <c r="N105" s="5">
        <v>136.41</v>
      </c>
      <c r="O105" s="5">
        <v>1.0</v>
      </c>
      <c r="P105" s="5">
        <v>616.27</v>
      </c>
      <c r="Q105" s="5">
        <v>13.0</v>
      </c>
      <c r="R105" s="5">
        <v>0.0</v>
      </c>
      <c r="S105" s="5">
        <v>0.0</v>
      </c>
      <c r="T105" s="5">
        <v>3.79</v>
      </c>
    </row>
    <row r="106" ht="12.0" customHeight="1">
      <c r="A106" s="5" t="s">
        <v>372</v>
      </c>
      <c r="B106" s="5" t="s">
        <v>478</v>
      </c>
      <c r="C106" s="5" t="s">
        <v>461</v>
      </c>
      <c r="D106" s="5" t="s">
        <v>26</v>
      </c>
      <c r="E106" s="5">
        <v>367021.901</v>
      </c>
      <c r="F106" s="5">
        <v>9902469.866</v>
      </c>
      <c r="G106" s="5">
        <v>-0.8821918112343702</v>
      </c>
      <c r="H106" s="5">
        <v>133.8049058852401</v>
      </c>
      <c r="I106" s="5" t="s">
        <v>123</v>
      </c>
      <c r="J106" s="5">
        <v>3.0</v>
      </c>
      <c r="K106" s="5">
        <v>380.238</v>
      </c>
      <c r="L106" s="5">
        <v>88.72</v>
      </c>
      <c r="M106" s="5" t="s">
        <v>175</v>
      </c>
      <c r="N106" s="5">
        <v>61.0</v>
      </c>
      <c r="O106" s="5">
        <v>1.0</v>
      </c>
      <c r="P106" s="5">
        <v>365.51</v>
      </c>
      <c r="Q106" s="5">
        <v>13.0</v>
      </c>
      <c r="R106" s="5">
        <v>0.0</v>
      </c>
      <c r="S106" s="5">
        <v>0.0</v>
      </c>
      <c r="T106" s="5">
        <v>3.754</v>
      </c>
    </row>
    <row r="107" ht="12.0" customHeight="1">
      <c r="A107" s="5" t="s">
        <v>376</v>
      </c>
      <c r="B107" s="5" t="s">
        <v>478</v>
      </c>
      <c r="C107" s="5" t="s">
        <v>461</v>
      </c>
      <c r="D107" s="5" t="s">
        <v>26</v>
      </c>
      <c r="E107" s="5">
        <v>366781.171</v>
      </c>
      <c r="F107" s="5">
        <v>9902673.91</v>
      </c>
      <c r="G107" s="5">
        <v>-0.8803454712536731</v>
      </c>
      <c r="H107" s="5">
        <v>133.80274331479407</v>
      </c>
      <c r="I107" s="5" t="s">
        <v>123</v>
      </c>
      <c r="J107" s="5">
        <v>3.0</v>
      </c>
      <c r="K107" s="5">
        <v>363.131</v>
      </c>
      <c r="L107" s="5">
        <v>91.31</v>
      </c>
      <c r="M107" s="5" t="s">
        <v>175</v>
      </c>
      <c r="N107" s="5">
        <v>140.13</v>
      </c>
      <c r="O107" s="5">
        <v>1.0</v>
      </c>
      <c r="P107" s="5">
        <v>366.2</v>
      </c>
      <c r="Q107" s="5">
        <v>13.0</v>
      </c>
      <c r="R107" s="5">
        <v>0.0</v>
      </c>
      <c r="S107" s="5">
        <v>0.0</v>
      </c>
      <c r="T107" s="5">
        <v>3.821</v>
      </c>
    </row>
    <row r="108" ht="12.0" customHeight="1">
      <c r="A108" s="5" t="s">
        <v>380</v>
      </c>
      <c r="B108" s="5" t="s">
        <v>478</v>
      </c>
      <c r="C108" s="5" t="s">
        <v>461</v>
      </c>
      <c r="D108" s="5" t="s">
        <v>26</v>
      </c>
      <c r="E108" s="5">
        <v>366536.863</v>
      </c>
      <c r="F108" s="5">
        <v>9902881.003</v>
      </c>
      <c r="G108" s="5">
        <v>-0.8784715434253346</v>
      </c>
      <c r="H108" s="5">
        <v>133.80054860450943</v>
      </c>
      <c r="I108" s="5" t="s">
        <v>470</v>
      </c>
      <c r="J108" s="5">
        <v>2.0</v>
      </c>
      <c r="K108" s="5">
        <v>320.213</v>
      </c>
      <c r="L108" s="5">
        <v>79.43</v>
      </c>
      <c r="M108" s="5" t="s">
        <v>109</v>
      </c>
      <c r="N108" s="5">
        <v>153.72</v>
      </c>
      <c r="O108" s="5">
        <v>2.0</v>
      </c>
      <c r="P108" s="5">
        <v>585.43</v>
      </c>
      <c r="Q108" s="5">
        <v>15.0</v>
      </c>
      <c r="R108" s="5">
        <v>1.0</v>
      </c>
      <c r="S108" s="5">
        <v>0.0</v>
      </c>
      <c r="T108" s="5">
        <v>3.4819999999999998</v>
      </c>
    </row>
    <row r="109" ht="12.0" customHeight="1">
      <c r="A109" s="5" t="s">
        <v>385</v>
      </c>
      <c r="B109" s="5" t="s">
        <v>478</v>
      </c>
      <c r="C109" s="5" t="s">
        <v>461</v>
      </c>
      <c r="D109" s="5" t="s">
        <v>26</v>
      </c>
      <c r="E109" s="5">
        <v>366246.35</v>
      </c>
      <c r="F109" s="5">
        <v>9903127.174</v>
      </c>
      <c r="G109" s="5">
        <v>-0.8762440113996309</v>
      </c>
      <c r="H109" s="5">
        <v>133.79793882063893</v>
      </c>
      <c r="I109" s="5" t="s">
        <v>470</v>
      </c>
      <c r="J109" s="5">
        <v>2.0</v>
      </c>
      <c r="K109" s="5">
        <v>380.777</v>
      </c>
      <c r="L109" s="5">
        <v>75.87</v>
      </c>
      <c r="M109" s="5" t="s">
        <v>109</v>
      </c>
      <c r="N109" s="5">
        <v>164.35</v>
      </c>
      <c r="O109" s="5">
        <v>2.0</v>
      </c>
      <c r="P109" s="5">
        <v>895.55</v>
      </c>
      <c r="Q109" s="5">
        <v>15.0</v>
      </c>
      <c r="R109" s="5">
        <v>1.0</v>
      </c>
      <c r="S109" s="5">
        <v>0.0</v>
      </c>
      <c r="T109" s="5">
        <v>3.549</v>
      </c>
    </row>
    <row r="110" ht="12.0" customHeight="1">
      <c r="A110" s="5" t="s">
        <v>388</v>
      </c>
      <c r="B110" s="5" t="s">
        <v>478</v>
      </c>
      <c r="C110" s="5" t="s">
        <v>461</v>
      </c>
      <c r="D110" s="5" t="s">
        <v>26</v>
      </c>
      <c r="E110" s="5">
        <v>365956.238</v>
      </c>
      <c r="F110" s="5">
        <v>9903373.076</v>
      </c>
      <c r="G110" s="5">
        <v>-0.8740189161464792</v>
      </c>
      <c r="H110" s="5">
        <v>133.7953326430832</v>
      </c>
      <c r="I110" s="5" t="s">
        <v>474</v>
      </c>
      <c r="J110" s="5">
        <v>2.0</v>
      </c>
      <c r="K110" s="5">
        <v>380.335</v>
      </c>
      <c r="L110" s="5">
        <v>73.44</v>
      </c>
      <c r="M110" s="5" t="s">
        <v>175</v>
      </c>
      <c r="N110" s="5">
        <v>163.16</v>
      </c>
      <c r="O110" s="5">
        <v>1.0</v>
      </c>
      <c r="P110" s="5">
        <v>1359.67</v>
      </c>
      <c r="Q110" s="5">
        <v>6.0</v>
      </c>
      <c r="R110" s="5">
        <v>0.0</v>
      </c>
      <c r="S110" s="5">
        <v>0.0</v>
      </c>
      <c r="T110" s="5">
        <v>4.196000000000001</v>
      </c>
    </row>
    <row r="111" ht="12.0" customHeight="1">
      <c r="A111" s="5" t="s">
        <v>391</v>
      </c>
      <c r="B111" s="5" t="s">
        <v>478</v>
      </c>
      <c r="C111" s="5" t="s">
        <v>461</v>
      </c>
      <c r="D111" s="5" t="s">
        <v>26</v>
      </c>
      <c r="E111" s="5">
        <v>365654.168</v>
      </c>
      <c r="F111" s="5">
        <v>9903629.13</v>
      </c>
      <c r="G111" s="5">
        <v>-0.8717019610618235</v>
      </c>
      <c r="H111" s="5">
        <v>133.7926190466876</v>
      </c>
      <c r="I111" s="5" t="s">
        <v>454</v>
      </c>
      <c r="J111" s="5">
        <v>3.0</v>
      </c>
      <c r="K111" s="5">
        <v>395.975</v>
      </c>
      <c r="L111" s="5">
        <v>72.43</v>
      </c>
      <c r="M111" s="5" t="s">
        <v>175</v>
      </c>
      <c r="N111" s="5">
        <v>173.81</v>
      </c>
      <c r="O111" s="5">
        <v>1.0</v>
      </c>
      <c r="P111" s="5">
        <v>1174.46</v>
      </c>
      <c r="Q111" s="5">
        <v>7.0</v>
      </c>
      <c r="R111" s="5">
        <v>0.0</v>
      </c>
      <c r="S111" s="5">
        <v>0.0</v>
      </c>
      <c r="T111" s="5">
        <v>3.79</v>
      </c>
    </row>
    <row r="112" ht="12.0" customHeight="1">
      <c r="A112" s="5" t="s">
        <v>394</v>
      </c>
      <c r="B112" s="5" t="s">
        <v>478</v>
      </c>
      <c r="C112" s="5" t="s">
        <v>461</v>
      </c>
      <c r="D112" s="5" t="s">
        <v>26</v>
      </c>
      <c r="E112" s="5">
        <v>365374.376</v>
      </c>
      <c r="F112" s="5">
        <v>9903866.306</v>
      </c>
      <c r="G112" s="5">
        <v>-0.8695558296736919</v>
      </c>
      <c r="H112" s="5">
        <v>133.79010558471887</v>
      </c>
      <c r="I112" s="5" t="s">
        <v>470</v>
      </c>
      <c r="J112" s="5">
        <v>2.0</v>
      </c>
      <c r="K112" s="5">
        <v>366.768</v>
      </c>
      <c r="L112" s="5">
        <v>66.46</v>
      </c>
      <c r="M112" s="5" t="s">
        <v>175</v>
      </c>
      <c r="N112" s="5">
        <v>165.34</v>
      </c>
      <c r="O112" s="5">
        <v>1.0</v>
      </c>
      <c r="P112" s="5">
        <v>2165.75</v>
      </c>
      <c r="Q112" s="5">
        <v>15.0</v>
      </c>
      <c r="R112" s="5">
        <v>0.0</v>
      </c>
      <c r="S112" s="5">
        <v>0.0</v>
      </c>
      <c r="T112" s="5">
        <v>4.263000000000001</v>
      </c>
    </row>
    <row r="113" ht="12.0" customHeight="1">
      <c r="A113" s="5" t="s">
        <v>397</v>
      </c>
      <c r="B113" s="5" t="s">
        <v>478</v>
      </c>
      <c r="C113" s="5" t="s">
        <v>461</v>
      </c>
      <c r="D113" s="5" t="s">
        <v>26</v>
      </c>
      <c r="E113" s="5">
        <v>365083.341</v>
      </c>
      <c r="F113" s="5">
        <v>9904112.901</v>
      </c>
      <c r="G113" s="5">
        <v>-0.8673244707534492</v>
      </c>
      <c r="H113" s="5">
        <v>133.78749112663718</v>
      </c>
      <c r="I113" s="5" t="s">
        <v>474</v>
      </c>
      <c r="J113" s="5">
        <v>2.0</v>
      </c>
      <c r="K113" s="5">
        <v>381.494</v>
      </c>
      <c r="L113" s="5">
        <v>64.4</v>
      </c>
      <c r="M113" s="5" t="s">
        <v>175</v>
      </c>
      <c r="N113" s="5">
        <v>170.3</v>
      </c>
      <c r="O113" s="5">
        <v>1.0</v>
      </c>
      <c r="P113" s="5">
        <v>1836.09</v>
      </c>
      <c r="Q113" s="5">
        <v>6.0</v>
      </c>
      <c r="R113" s="5">
        <v>0.0</v>
      </c>
      <c r="S113" s="5">
        <v>0.0</v>
      </c>
      <c r="T113" s="5">
        <v>4.196000000000001</v>
      </c>
    </row>
    <row r="114" ht="12.0" customHeight="1">
      <c r="A114" s="5" t="s">
        <v>400</v>
      </c>
      <c r="B114" s="5" t="s">
        <v>478</v>
      </c>
      <c r="C114" s="5" t="s">
        <v>461</v>
      </c>
      <c r="D114" s="5" t="s">
        <v>26</v>
      </c>
      <c r="E114" s="5">
        <v>364793.971</v>
      </c>
      <c r="F114" s="5">
        <v>9904358.197</v>
      </c>
      <c r="G114" s="5">
        <v>-0.8651048689228884</v>
      </c>
      <c r="H114" s="5">
        <v>133.78489162983664</v>
      </c>
      <c r="I114" s="5" t="s">
        <v>474</v>
      </c>
      <c r="J114" s="5">
        <v>2.0</v>
      </c>
      <c r="K114" s="5">
        <v>379.336</v>
      </c>
      <c r="L114" s="5">
        <v>60.13</v>
      </c>
      <c r="M114" s="5" t="s">
        <v>175</v>
      </c>
      <c r="N114" s="5">
        <v>205.73</v>
      </c>
      <c r="O114" s="5">
        <v>1.0</v>
      </c>
      <c r="P114" s="5">
        <v>1381.52</v>
      </c>
      <c r="Q114" s="5">
        <v>6.0</v>
      </c>
      <c r="R114" s="5">
        <v>0.0</v>
      </c>
      <c r="S114" s="5">
        <v>0.0</v>
      </c>
      <c r="T114" s="5">
        <v>4.213000000000001</v>
      </c>
    </row>
    <row r="115" ht="12.0" customHeight="1">
      <c r="A115" s="5" t="s">
        <v>403</v>
      </c>
      <c r="B115" s="5" t="s">
        <v>478</v>
      </c>
      <c r="C115" s="5" t="s">
        <v>461</v>
      </c>
      <c r="D115" s="5" t="s">
        <v>26</v>
      </c>
      <c r="E115" s="5">
        <v>364503.483</v>
      </c>
      <c r="F115" s="5">
        <v>9904604.402</v>
      </c>
      <c r="G115" s="5">
        <v>-0.8628770442165854</v>
      </c>
      <c r="H115" s="5">
        <v>133.78228209334821</v>
      </c>
      <c r="I115" s="5" t="s">
        <v>474</v>
      </c>
      <c r="J115" s="5">
        <v>2.0</v>
      </c>
      <c r="K115" s="5">
        <v>380.846</v>
      </c>
      <c r="L115" s="5">
        <v>53.16</v>
      </c>
      <c r="M115" s="5" t="s">
        <v>175</v>
      </c>
      <c r="N115" s="5">
        <v>179.48</v>
      </c>
      <c r="O115" s="5">
        <v>1.0</v>
      </c>
      <c r="P115" s="5">
        <v>1109.7</v>
      </c>
      <c r="Q115" s="5">
        <v>6.0</v>
      </c>
      <c r="R115" s="5">
        <v>0.0</v>
      </c>
      <c r="S115" s="5">
        <v>0.0</v>
      </c>
      <c r="T115" s="5">
        <v>4.1770000000000005</v>
      </c>
    </row>
    <row r="116" ht="12.0" customHeight="1">
      <c r="A116" s="5" t="s">
        <v>406</v>
      </c>
      <c r="B116" s="5" t="s">
        <v>478</v>
      </c>
      <c r="C116" s="5" t="s">
        <v>461</v>
      </c>
      <c r="D116" s="5" t="s">
        <v>26</v>
      </c>
      <c r="E116" s="5">
        <v>364213.257</v>
      </c>
      <c r="F116" s="5">
        <v>9904850.381</v>
      </c>
      <c r="G116" s="5">
        <v>-0.8606512670035413</v>
      </c>
      <c r="H116" s="5">
        <v>133.77967491421512</v>
      </c>
      <c r="I116" s="5" t="s">
        <v>474</v>
      </c>
      <c r="J116" s="5">
        <v>2.0</v>
      </c>
      <c r="K116" s="5">
        <v>380.404</v>
      </c>
      <c r="L116" s="5">
        <v>49.77</v>
      </c>
      <c r="M116" s="5" t="s">
        <v>109</v>
      </c>
      <c r="N116" s="5">
        <v>56.26</v>
      </c>
      <c r="O116" s="5">
        <v>1.0</v>
      </c>
      <c r="P116" s="5">
        <v>881.31</v>
      </c>
      <c r="Q116" s="5">
        <v>6.0</v>
      </c>
      <c r="R116" s="5">
        <v>1.0</v>
      </c>
      <c r="S116" s="5">
        <v>0.0</v>
      </c>
      <c r="T116" s="5">
        <v>4.037</v>
      </c>
    </row>
    <row r="117" ht="12.0" customHeight="1">
      <c r="A117" s="5" t="s">
        <v>409</v>
      </c>
      <c r="B117" s="5" t="s">
        <v>478</v>
      </c>
      <c r="C117" s="5" t="s">
        <v>461</v>
      </c>
      <c r="D117" s="5" t="s">
        <v>26</v>
      </c>
      <c r="E117" s="5">
        <v>363924.182</v>
      </c>
      <c r="F117" s="5">
        <v>9904991.626</v>
      </c>
      <c r="G117" s="5">
        <v>-0.8593728375735112</v>
      </c>
      <c r="H117" s="5">
        <v>133.77707778019567</v>
      </c>
      <c r="I117" s="5" t="s">
        <v>481</v>
      </c>
      <c r="J117" s="5">
        <v>2.0</v>
      </c>
      <c r="K117" s="5">
        <v>321.744</v>
      </c>
      <c r="L117" s="5">
        <v>54.99</v>
      </c>
      <c r="M117" s="5" t="s">
        <v>85</v>
      </c>
      <c r="N117" s="5">
        <v>107.41</v>
      </c>
      <c r="O117" s="5">
        <v>3.0</v>
      </c>
      <c r="P117" s="5">
        <v>540.28</v>
      </c>
      <c r="Q117" s="5">
        <v>12.0</v>
      </c>
      <c r="R117" s="5">
        <v>4.0</v>
      </c>
      <c r="S117" s="5">
        <v>0.0</v>
      </c>
      <c r="T117" s="5">
        <v>2.436</v>
      </c>
    </row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4:$W$117"/>
  <printOptions/>
  <pageMargins bottom="0.75" footer="0.0" header="0.0" left="0.7" right="0.7" top="0.75"/>
  <pageSetup fitToHeight="0" orientation="landscape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3" max="3" width="7.13"/>
  </cols>
  <sheetData>
    <row r="1">
      <c r="A1" s="49" t="s">
        <v>0</v>
      </c>
      <c r="B1" s="5" t="s">
        <v>417</v>
      </c>
      <c r="C1" s="49" t="s">
        <v>416</v>
      </c>
      <c r="D1" s="5" t="s">
        <v>484</v>
      </c>
    </row>
    <row r="2">
      <c r="A2" s="5" t="s">
        <v>23</v>
      </c>
      <c r="B2" s="5">
        <v>2.4670000000000005</v>
      </c>
      <c r="C2" s="50">
        <v>1.0</v>
      </c>
      <c r="D2" s="5" t="s">
        <v>485</v>
      </c>
      <c r="H2" s="5" t="s">
        <v>486</v>
      </c>
    </row>
    <row r="3">
      <c r="A3" s="5" t="s">
        <v>37</v>
      </c>
      <c r="B3" s="5">
        <v>4.044</v>
      </c>
      <c r="C3" s="50">
        <v>1.0</v>
      </c>
      <c r="D3" s="5" t="s">
        <v>487</v>
      </c>
      <c r="F3" s="5">
        <f>COUNTIF(D2:D114,"sesuai")</f>
        <v>69</v>
      </c>
      <c r="G3" s="5" t="s">
        <v>485</v>
      </c>
      <c r="H3" s="59">
        <f t="shared" ref="H3:H4" si="1">F3/113</f>
        <v>0.610619469</v>
      </c>
    </row>
    <row r="4" hidden="1">
      <c r="A4" s="5" t="s">
        <v>41</v>
      </c>
      <c r="B4" s="5">
        <v>3.016</v>
      </c>
      <c r="C4" s="5">
        <v>0.0</v>
      </c>
      <c r="D4" s="5" t="s">
        <v>485</v>
      </c>
      <c r="F4" s="5">
        <f>COUNTIF(D2:D114,"tidak sesuai")
</f>
        <v>44</v>
      </c>
      <c r="G4" s="5" t="s">
        <v>487</v>
      </c>
      <c r="H4" s="59">
        <f t="shared" si="1"/>
        <v>0.389380531</v>
      </c>
    </row>
    <row r="5" hidden="1">
      <c r="A5" s="5" t="s">
        <v>44</v>
      </c>
      <c r="B5" s="5">
        <v>3.1390000000000002</v>
      </c>
      <c r="C5" s="5">
        <v>0.0</v>
      </c>
      <c r="D5" s="5" t="s">
        <v>485</v>
      </c>
    </row>
    <row r="6" hidden="1">
      <c r="A6" s="5" t="s">
        <v>48</v>
      </c>
      <c r="B6" s="5">
        <v>3.9509999999999996</v>
      </c>
      <c r="C6" s="5">
        <v>0.0</v>
      </c>
      <c r="D6" s="5" t="s">
        <v>485</v>
      </c>
    </row>
    <row r="7">
      <c r="A7" s="5" t="s">
        <v>52</v>
      </c>
      <c r="B7" s="5">
        <v>4.789</v>
      </c>
      <c r="C7" s="5">
        <v>1.0</v>
      </c>
      <c r="D7" s="5" t="s">
        <v>487</v>
      </c>
    </row>
    <row r="8">
      <c r="A8" s="5" t="s">
        <v>55</v>
      </c>
      <c r="B8" s="5">
        <v>4.856</v>
      </c>
      <c r="C8" s="5">
        <v>1.0</v>
      </c>
      <c r="D8" s="5" t="s">
        <v>487</v>
      </c>
    </row>
    <row r="9">
      <c r="A9" s="5" t="s">
        <v>58</v>
      </c>
      <c r="B9" s="5">
        <v>3.854</v>
      </c>
      <c r="C9" s="5">
        <v>1.0</v>
      </c>
      <c r="D9" s="5" t="s">
        <v>487</v>
      </c>
      <c r="F9" s="5">
        <f>MIN(B2:B114)</f>
        <v>1.671</v>
      </c>
    </row>
    <row r="10">
      <c r="A10" s="5" t="s">
        <v>61</v>
      </c>
      <c r="B10" s="5">
        <v>3.474</v>
      </c>
      <c r="C10" s="5">
        <v>1.0</v>
      </c>
      <c r="D10" s="5" t="s">
        <v>487</v>
      </c>
      <c r="F10" s="5">
        <f>MAX(B2:B114)</f>
        <v>4.856</v>
      </c>
    </row>
    <row r="11" hidden="1">
      <c r="A11" s="5" t="s">
        <v>64</v>
      </c>
      <c r="B11" s="5">
        <v>3.9149999999999996</v>
      </c>
      <c r="C11" s="5">
        <v>0.0</v>
      </c>
      <c r="D11" s="5" t="s">
        <v>485</v>
      </c>
    </row>
    <row r="12" hidden="1">
      <c r="A12" s="5" t="s">
        <v>67</v>
      </c>
      <c r="B12" s="5">
        <v>2.913</v>
      </c>
      <c r="C12" s="5">
        <v>0.0</v>
      </c>
      <c r="D12" s="5" t="s">
        <v>487</v>
      </c>
    </row>
    <row r="13" hidden="1">
      <c r="A13" s="5" t="s">
        <v>70</v>
      </c>
      <c r="B13" s="5">
        <v>3.8590000000000004</v>
      </c>
      <c r="C13" s="5">
        <v>0.0</v>
      </c>
      <c r="D13" s="5" t="s">
        <v>485</v>
      </c>
    </row>
    <row r="14">
      <c r="A14" s="5" t="s">
        <v>73</v>
      </c>
      <c r="B14" s="5">
        <v>3.6820000000000004</v>
      </c>
      <c r="C14" s="5">
        <v>1.0</v>
      </c>
      <c r="D14" s="5" t="s">
        <v>487</v>
      </c>
    </row>
    <row r="15">
      <c r="A15" s="5" t="s">
        <v>76</v>
      </c>
      <c r="B15" s="5">
        <v>3.641</v>
      </c>
      <c r="C15" s="5">
        <v>1.0</v>
      </c>
      <c r="D15" s="5" t="s">
        <v>487</v>
      </c>
    </row>
    <row r="16">
      <c r="A16" s="56" t="s">
        <v>79</v>
      </c>
      <c r="B16" s="5">
        <v>2.896</v>
      </c>
      <c r="C16" s="56">
        <v>1.0</v>
      </c>
      <c r="D16" s="5" t="s">
        <v>487</v>
      </c>
    </row>
    <row r="17">
      <c r="A17" s="56" t="s">
        <v>82</v>
      </c>
      <c r="B17" s="57">
        <v>2.4030000000000005</v>
      </c>
      <c r="C17" s="56">
        <v>1.0</v>
      </c>
      <c r="D17" s="5" t="s">
        <v>485</v>
      </c>
    </row>
    <row r="18">
      <c r="A18" s="56" t="s">
        <v>86</v>
      </c>
      <c r="B18" s="5">
        <v>2.7940000000000005</v>
      </c>
      <c r="C18" s="56">
        <v>1.0</v>
      </c>
      <c r="D18" s="5" t="s">
        <v>485</v>
      </c>
    </row>
    <row r="19">
      <c r="A19" s="5" t="s">
        <v>89</v>
      </c>
      <c r="B19" s="5">
        <v>2.838</v>
      </c>
      <c r="C19" s="5">
        <v>1.0</v>
      </c>
      <c r="D19" s="5" t="s">
        <v>485</v>
      </c>
    </row>
    <row r="20">
      <c r="A20" s="56" t="s">
        <v>92</v>
      </c>
      <c r="B20" s="5">
        <v>3.0660000000000007</v>
      </c>
      <c r="C20" s="56">
        <v>1.0</v>
      </c>
      <c r="D20" s="5" t="s">
        <v>487</v>
      </c>
    </row>
    <row r="21">
      <c r="A21" s="5" t="s">
        <v>95</v>
      </c>
      <c r="B21" s="5">
        <v>4.586000000000001</v>
      </c>
      <c r="C21" s="5">
        <v>1.0</v>
      </c>
      <c r="D21" s="5" t="s">
        <v>487</v>
      </c>
    </row>
    <row r="22">
      <c r="A22" s="5" t="s">
        <v>98</v>
      </c>
      <c r="B22" s="5">
        <v>3.0789999999999997</v>
      </c>
      <c r="C22" s="5">
        <v>1.0</v>
      </c>
      <c r="D22" s="5" t="s">
        <v>487</v>
      </c>
    </row>
    <row r="23">
      <c r="A23" s="56" t="s">
        <v>101</v>
      </c>
      <c r="B23" s="5">
        <v>2.606</v>
      </c>
      <c r="C23" s="56">
        <v>1.0</v>
      </c>
      <c r="D23" s="5" t="s">
        <v>487</v>
      </c>
    </row>
    <row r="24">
      <c r="A24" s="5" t="s">
        <v>104</v>
      </c>
      <c r="B24" s="5">
        <v>3.3740000000000006</v>
      </c>
      <c r="C24" s="5">
        <v>1.0</v>
      </c>
      <c r="D24" s="5" t="s">
        <v>487</v>
      </c>
    </row>
    <row r="25">
      <c r="A25" s="5" t="s">
        <v>107</v>
      </c>
      <c r="B25" s="5">
        <v>3.508</v>
      </c>
      <c r="C25" s="5">
        <v>1.0</v>
      </c>
      <c r="D25" s="5" t="s">
        <v>487</v>
      </c>
    </row>
    <row r="26">
      <c r="A26" s="5" t="s">
        <v>111</v>
      </c>
      <c r="B26" s="5">
        <v>3.458</v>
      </c>
      <c r="C26" s="5">
        <v>1.0</v>
      </c>
      <c r="D26" s="5" t="s">
        <v>487</v>
      </c>
    </row>
    <row r="27">
      <c r="A27" s="5" t="s">
        <v>114</v>
      </c>
      <c r="B27" s="5">
        <v>2.5870000000000006</v>
      </c>
      <c r="C27" s="5">
        <v>1.0</v>
      </c>
      <c r="D27" s="5" t="s">
        <v>485</v>
      </c>
    </row>
    <row r="28">
      <c r="A28" s="5" t="s">
        <v>117</v>
      </c>
      <c r="B28" s="5">
        <v>4.395000000000001</v>
      </c>
      <c r="C28" s="5">
        <v>1.0</v>
      </c>
      <c r="D28" s="5" t="s">
        <v>487</v>
      </c>
    </row>
    <row r="29">
      <c r="A29" s="5" t="s">
        <v>121</v>
      </c>
      <c r="B29" s="5">
        <v>4.261000000000001</v>
      </c>
      <c r="C29" s="5">
        <v>1.0</v>
      </c>
      <c r="D29" s="5" t="s">
        <v>487</v>
      </c>
    </row>
    <row r="30">
      <c r="A30" s="5" t="s">
        <v>126</v>
      </c>
      <c r="B30" s="5">
        <v>4.261000000000001</v>
      </c>
      <c r="C30" s="5">
        <v>1.0</v>
      </c>
      <c r="D30" s="5" t="s">
        <v>487</v>
      </c>
    </row>
    <row r="31">
      <c r="A31" s="5" t="s">
        <v>129</v>
      </c>
      <c r="B31" s="5">
        <v>4.175000000000001</v>
      </c>
      <c r="C31" s="5">
        <v>1.0</v>
      </c>
      <c r="D31" s="5" t="s">
        <v>487</v>
      </c>
    </row>
    <row r="32">
      <c r="A32" s="5" t="s">
        <v>134</v>
      </c>
      <c r="B32" s="5">
        <v>3.738</v>
      </c>
      <c r="C32" s="5">
        <v>1.0</v>
      </c>
      <c r="D32" s="5" t="s">
        <v>487</v>
      </c>
    </row>
    <row r="33">
      <c r="A33" s="5" t="s">
        <v>138</v>
      </c>
      <c r="B33" s="5">
        <v>4.4030000000000005</v>
      </c>
      <c r="C33" s="5">
        <v>1.0</v>
      </c>
      <c r="D33" s="5" t="s">
        <v>487</v>
      </c>
    </row>
    <row r="34" hidden="1">
      <c r="A34" s="5" t="s">
        <v>141</v>
      </c>
      <c r="B34" s="5">
        <v>3.663</v>
      </c>
      <c r="C34" s="5">
        <v>0.0</v>
      </c>
      <c r="D34" s="5" t="s">
        <v>485</v>
      </c>
    </row>
    <row r="35">
      <c r="A35" s="5" t="s">
        <v>144</v>
      </c>
      <c r="B35" s="5">
        <v>4.3</v>
      </c>
      <c r="C35" s="5">
        <v>1.0</v>
      </c>
      <c r="D35" s="5" t="s">
        <v>487</v>
      </c>
    </row>
    <row r="36">
      <c r="A36" s="5" t="s">
        <v>147</v>
      </c>
      <c r="B36" s="5">
        <v>4.4</v>
      </c>
      <c r="C36" s="5">
        <v>1.0</v>
      </c>
      <c r="D36" s="5" t="s">
        <v>487</v>
      </c>
    </row>
    <row r="37">
      <c r="A37" s="5" t="s">
        <v>150</v>
      </c>
      <c r="B37" s="5">
        <v>4.047000000000001</v>
      </c>
      <c r="C37" s="5">
        <v>1.0</v>
      </c>
      <c r="D37" s="5" t="s">
        <v>487</v>
      </c>
    </row>
    <row r="38">
      <c r="A38" s="5" t="s">
        <v>153</v>
      </c>
      <c r="B38" s="5">
        <v>2.793</v>
      </c>
      <c r="C38" s="5">
        <v>1.0</v>
      </c>
      <c r="D38" s="5" t="s">
        <v>485</v>
      </c>
    </row>
    <row r="39">
      <c r="A39" s="5" t="s">
        <v>156</v>
      </c>
      <c r="B39" s="5">
        <v>4.3500000000000005</v>
      </c>
      <c r="C39" s="5">
        <v>1.0</v>
      </c>
      <c r="D39" s="5" t="s">
        <v>487</v>
      </c>
    </row>
    <row r="40">
      <c r="A40" s="5" t="s">
        <v>159</v>
      </c>
      <c r="B40" s="5">
        <v>3.6550000000000002</v>
      </c>
      <c r="C40" s="5">
        <v>1.0</v>
      </c>
      <c r="D40" s="5" t="s">
        <v>487</v>
      </c>
    </row>
    <row r="41">
      <c r="A41" s="5" t="s">
        <v>162</v>
      </c>
      <c r="B41" s="5">
        <v>4.283</v>
      </c>
      <c r="C41" s="5">
        <v>1.0</v>
      </c>
      <c r="D41" s="5" t="s">
        <v>487</v>
      </c>
    </row>
    <row r="42">
      <c r="A42" s="5" t="s">
        <v>165</v>
      </c>
      <c r="B42" s="5">
        <v>3.6050000000000004</v>
      </c>
      <c r="C42" s="5">
        <v>1.0</v>
      </c>
      <c r="D42" s="5" t="s">
        <v>487</v>
      </c>
    </row>
    <row r="43">
      <c r="A43" s="5" t="s">
        <v>169</v>
      </c>
      <c r="B43" s="5">
        <v>2.003</v>
      </c>
      <c r="C43" s="5">
        <v>1.0</v>
      </c>
      <c r="D43" s="5" t="s">
        <v>485</v>
      </c>
    </row>
    <row r="44" hidden="1">
      <c r="A44" s="5" t="s">
        <v>172</v>
      </c>
      <c r="B44" s="5">
        <v>3.6269999999999993</v>
      </c>
      <c r="C44" s="5">
        <v>0.0</v>
      </c>
      <c r="D44" s="5" t="s">
        <v>487</v>
      </c>
    </row>
    <row r="45" hidden="1">
      <c r="A45" s="5" t="s">
        <v>176</v>
      </c>
      <c r="B45" s="5">
        <v>1.919</v>
      </c>
      <c r="C45" s="5">
        <v>0.0</v>
      </c>
      <c r="D45" s="5" t="s">
        <v>487</v>
      </c>
    </row>
    <row r="46" hidden="1">
      <c r="A46" s="5" t="s">
        <v>179</v>
      </c>
      <c r="B46" s="5">
        <v>3.677</v>
      </c>
      <c r="C46" s="5">
        <v>0.0</v>
      </c>
      <c r="D46" s="5" t="s">
        <v>485</v>
      </c>
    </row>
    <row r="47" hidden="1">
      <c r="A47" s="5" t="s">
        <v>182</v>
      </c>
      <c r="B47" s="5">
        <v>3.4929999999999994</v>
      </c>
      <c r="C47" s="5">
        <v>0.0</v>
      </c>
      <c r="D47" s="5" t="s">
        <v>485</v>
      </c>
    </row>
    <row r="48" hidden="1">
      <c r="A48" s="5" t="s">
        <v>185</v>
      </c>
      <c r="B48" s="5">
        <v>1.8519999999999999</v>
      </c>
      <c r="C48" s="5">
        <v>0.0</v>
      </c>
      <c r="D48" s="5" t="s">
        <v>487</v>
      </c>
    </row>
    <row r="49" hidden="1">
      <c r="A49" s="5" t="s">
        <v>188</v>
      </c>
      <c r="B49" s="5">
        <v>3.7439999999999998</v>
      </c>
      <c r="C49" s="5">
        <v>0.0</v>
      </c>
      <c r="D49" s="5" t="s">
        <v>485</v>
      </c>
    </row>
    <row r="50" hidden="1">
      <c r="A50" s="5" t="s">
        <v>191</v>
      </c>
      <c r="B50" s="5">
        <v>3.9629999999999996</v>
      </c>
      <c r="C50" s="5">
        <v>0.0</v>
      </c>
      <c r="D50" s="5" t="s">
        <v>485</v>
      </c>
    </row>
    <row r="51" hidden="1">
      <c r="A51" s="5" t="s">
        <v>194</v>
      </c>
      <c r="B51" s="5">
        <v>3.9629999999999996</v>
      </c>
      <c r="C51" s="5">
        <v>0.0</v>
      </c>
      <c r="D51" s="5" t="s">
        <v>485</v>
      </c>
    </row>
    <row r="52" hidden="1">
      <c r="A52" s="5" t="s">
        <v>197</v>
      </c>
      <c r="B52" s="5">
        <v>3.925</v>
      </c>
      <c r="C52" s="5">
        <v>0.0</v>
      </c>
      <c r="D52" s="5" t="s">
        <v>485</v>
      </c>
    </row>
    <row r="53" hidden="1">
      <c r="A53" s="5" t="s">
        <v>200</v>
      </c>
      <c r="B53" s="5">
        <v>3.6149999999999998</v>
      </c>
      <c r="C53" s="5">
        <v>0.0</v>
      </c>
      <c r="D53" s="5" t="s">
        <v>485</v>
      </c>
    </row>
    <row r="54" hidden="1">
      <c r="A54" s="5" t="s">
        <v>203</v>
      </c>
      <c r="B54" s="5">
        <v>3.749</v>
      </c>
      <c r="C54" s="5">
        <v>0.0</v>
      </c>
      <c r="D54" s="5" t="s">
        <v>485</v>
      </c>
    </row>
    <row r="55" hidden="1">
      <c r="A55" s="5" t="s">
        <v>206</v>
      </c>
      <c r="B55" s="5">
        <v>3.646</v>
      </c>
      <c r="C55" s="5">
        <v>0.0</v>
      </c>
      <c r="D55" s="5" t="s">
        <v>485</v>
      </c>
    </row>
    <row r="56" hidden="1">
      <c r="A56" s="5" t="s">
        <v>209</v>
      </c>
      <c r="B56" s="5">
        <v>2.7400000000000007</v>
      </c>
      <c r="C56" s="5">
        <v>0.0</v>
      </c>
      <c r="D56" s="5" t="s">
        <v>487</v>
      </c>
    </row>
    <row r="57" hidden="1">
      <c r="A57" s="5" t="s">
        <v>212</v>
      </c>
      <c r="B57" s="5">
        <v>2.556</v>
      </c>
      <c r="C57" s="5">
        <v>0.0</v>
      </c>
      <c r="D57" s="5" t="s">
        <v>487</v>
      </c>
    </row>
    <row r="58" hidden="1">
      <c r="A58" s="5" t="s">
        <v>215</v>
      </c>
      <c r="B58" s="5">
        <v>3.282</v>
      </c>
      <c r="C58" s="5">
        <v>0.0</v>
      </c>
      <c r="D58" s="5" t="s">
        <v>485</v>
      </c>
    </row>
    <row r="59">
      <c r="A59" s="5" t="s">
        <v>219</v>
      </c>
      <c r="B59" s="5">
        <v>4.089</v>
      </c>
      <c r="C59" s="5">
        <v>1.0</v>
      </c>
      <c r="D59" s="5" t="s">
        <v>487</v>
      </c>
    </row>
    <row r="60">
      <c r="A60" s="5" t="s">
        <v>222</v>
      </c>
      <c r="B60" s="5">
        <v>1.671</v>
      </c>
      <c r="C60" s="5">
        <v>1.0</v>
      </c>
      <c r="D60" s="5" t="s">
        <v>485</v>
      </c>
    </row>
    <row r="61" hidden="1">
      <c r="A61" s="5" t="s">
        <v>225</v>
      </c>
      <c r="B61" s="5">
        <v>2.857</v>
      </c>
      <c r="C61" s="5">
        <v>0.0</v>
      </c>
      <c r="D61" s="5" t="s">
        <v>487</v>
      </c>
    </row>
    <row r="62" hidden="1">
      <c r="A62" s="5" t="s">
        <v>228</v>
      </c>
      <c r="B62" s="5">
        <v>2.7900000000000005</v>
      </c>
      <c r="C62" s="5">
        <v>0.0</v>
      </c>
      <c r="D62" s="5" t="s">
        <v>487</v>
      </c>
    </row>
    <row r="63" hidden="1">
      <c r="A63" s="5" t="s">
        <v>231</v>
      </c>
      <c r="B63" s="5">
        <v>3.602</v>
      </c>
      <c r="C63" s="5">
        <v>0.0</v>
      </c>
      <c r="D63" s="5" t="s">
        <v>485</v>
      </c>
    </row>
    <row r="64" hidden="1">
      <c r="A64" s="5" t="s">
        <v>235</v>
      </c>
      <c r="B64" s="5">
        <v>3.7629999999999995</v>
      </c>
      <c r="C64" s="5">
        <v>0.0</v>
      </c>
      <c r="D64" s="5" t="s">
        <v>485</v>
      </c>
    </row>
    <row r="65" hidden="1">
      <c r="A65" s="5" t="s">
        <v>238</v>
      </c>
      <c r="B65" s="5">
        <v>3.5060000000000002</v>
      </c>
      <c r="C65" s="5">
        <v>0.0</v>
      </c>
      <c r="D65" s="5" t="s">
        <v>485</v>
      </c>
    </row>
    <row r="66" hidden="1">
      <c r="A66" s="5" t="s">
        <v>241</v>
      </c>
      <c r="B66" s="5">
        <v>2.638</v>
      </c>
      <c r="C66" s="5">
        <v>0.0</v>
      </c>
      <c r="D66" s="5" t="s">
        <v>487</v>
      </c>
    </row>
    <row r="67" hidden="1">
      <c r="A67" s="5" t="s">
        <v>245</v>
      </c>
      <c r="B67" s="5">
        <v>2.797</v>
      </c>
      <c r="C67" s="5">
        <v>0.0</v>
      </c>
      <c r="D67" s="5" t="s">
        <v>487</v>
      </c>
    </row>
    <row r="68" hidden="1">
      <c r="A68" s="5" t="s">
        <v>248</v>
      </c>
      <c r="B68" s="5">
        <v>4.1690000000000005</v>
      </c>
      <c r="C68" s="5">
        <v>0.0</v>
      </c>
      <c r="D68" s="5" t="s">
        <v>485</v>
      </c>
    </row>
    <row r="69" hidden="1">
      <c r="A69" s="5" t="s">
        <v>251</v>
      </c>
      <c r="B69" s="5">
        <v>4.102</v>
      </c>
      <c r="C69" s="5">
        <v>0.0</v>
      </c>
      <c r="D69" s="5" t="s">
        <v>485</v>
      </c>
    </row>
    <row r="70" hidden="1">
      <c r="A70" s="5" t="s">
        <v>254</v>
      </c>
      <c r="B70" s="5">
        <v>4.138</v>
      </c>
      <c r="C70" s="5">
        <v>0.0</v>
      </c>
      <c r="D70" s="5" t="s">
        <v>485</v>
      </c>
    </row>
    <row r="71" hidden="1">
      <c r="A71" s="5" t="s">
        <v>257</v>
      </c>
      <c r="B71" s="5">
        <v>4.071</v>
      </c>
      <c r="C71" s="5">
        <v>0.0</v>
      </c>
      <c r="D71" s="5" t="s">
        <v>485</v>
      </c>
    </row>
    <row r="72" hidden="1">
      <c r="A72" s="5" t="s">
        <v>260</v>
      </c>
      <c r="B72" s="5">
        <v>3.7369999999999997</v>
      </c>
      <c r="C72" s="5">
        <v>0.0</v>
      </c>
      <c r="D72" s="5" t="s">
        <v>485</v>
      </c>
    </row>
    <row r="73" hidden="1">
      <c r="A73" s="5" t="s">
        <v>263</v>
      </c>
      <c r="B73" s="5">
        <v>4.107</v>
      </c>
      <c r="C73" s="5">
        <v>0.0</v>
      </c>
      <c r="D73" s="5" t="s">
        <v>485</v>
      </c>
    </row>
    <row r="74" hidden="1">
      <c r="A74" s="5" t="s">
        <v>266</v>
      </c>
      <c r="B74" s="5">
        <v>3.773</v>
      </c>
      <c r="C74" s="5">
        <v>0.0</v>
      </c>
      <c r="D74" s="5" t="s">
        <v>485</v>
      </c>
    </row>
    <row r="75" hidden="1">
      <c r="A75" s="5" t="s">
        <v>269</v>
      </c>
      <c r="B75" s="5">
        <v>3.2590000000000003</v>
      </c>
      <c r="C75" s="5">
        <v>0.0</v>
      </c>
      <c r="D75" s="5" t="s">
        <v>485</v>
      </c>
    </row>
    <row r="76" hidden="1">
      <c r="A76" s="5" t="s">
        <v>273</v>
      </c>
      <c r="B76" s="5">
        <v>4.232000000000001</v>
      </c>
      <c r="C76" s="5">
        <v>0.0</v>
      </c>
      <c r="D76" s="5" t="s">
        <v>485</v>
      </c>
    </row>
    <row r="77" hidden="1">
      <c r="A77" s="5" t="s">
        <v>276</v>
      </c>
      <c r="B77" s="5">
        <v>3.862</v>
      </c>
      <c r="C77" s="5">
        <v>0.0</v>
      </c>
      <c r="D77" s="5" t="s">
        <v>485</v>
      </c>
    </row>
    <row r="78" hidden="1">
      <c r="A78" s="5" t="s">
        <v>280</v>
      </c>
      <c r="B78" s="5">
        <v>3.862</v>
      </c>
      <c r="C78" s="5">
        <v>0.0</v>
      </c>
      <c r="D78" s="5" t="s">
        <v>485</v>
      </c>
    </row>
    <row r="79" hidden="1">
      <c r="A79" s="5" t="s">
        <v>283</v>
      </c>
      <c r="B79" s="5">
        <v>3.826</v>
      </c>
      <c r="C79" s="5">
        <v>0.0</v>
      </c>
      <c r="D79" s="5" t="s">
        <v>485</v>
      </c>
    </row>
    <row r="80" hidden="1">
      <c r="A80" s="5" t="s">
        <v>287</v>
      </c>
      <c r="B80" s="5">
        <v>3.076</v>
      </c>
      <c r="C80" s="5">
        <v>0.0</v>
      </c>
      <c r="D80" s="5" t="s">
        <v>485</v>
      </c>
    </row>
    <row r="81" hidden="1">
      <c r="A81" s="5" t="s">
        <v>290</v>
      </c>
      <c r="B81" s="5">
        <v>3.826</v>
      </c>
      <c r="C81" s="5">
        <v>0.0</v>
      </c>
      <c r="D81" s="5" t="s">
        <v>485</v>
      </c>
    </row>
    <row r="82" hidden="1">
      <c r="A82" s="5" t="s">
        <v>293</v>
      </c>
      <c r="B82" s="5">
        <v>3.826</v>
      </c>
      <c r="C82" s="5">
        <v>0.0</v>
      </c>
      <c r="D82" s="5" t="s">
        <v>485</v>
      </c>
    </row>
    <row r="83" hidden="1">
      <c r="A83" s="5" t="s">
        <v>296</v>
      </c>
      <c r="B83" s="5">
        <v>3.74</v>
      </c>
      <c r="C83" s="5">
        <v>0.0</v>
      </c>
      <c r="D83" s="5" t="s">
        <v>485</v>
      </c>
    </row>
    <row r="84" hidden="1">
      <c r="A84" s="5" t="s">
        <v>299</v>
      </c>
      <c r="B84" s="5">
        <v>3.857</v>
      </c>
      <c r="C84" s="5">
        <v>0.0</v>
      </c>
      <c r="D84" s="5" t="s">
        <v>485</v>
      </c>
    </row>
    <row r="85" hidden="1">
      <c r="A85" s="5" t="s">
        <v>302</v>
      </c>
      <c r="B85" s="5">
        <v>3.8380000000000005</v>
      </c>
      <c r="C85" s="5">
        <v>0.0</v>
      </c>
      <c r="D85" s="5" t="s">
        <v>485</v>
      </c>
    </row>
    <row r="86" hidden="1">
      <c r="A86" s="5" t="s">
        <v>305</v>
      </c>
      <c r="B86" s="5">
        <v>3.0260000000000002</v>
      </c>
      <c r="C86" s="5">
        <v>0.0</v>
      </c>
      <c r="D86" s="5" t="s">
        <v>485</v>
      </c>
    </row>
    <row r="87" hidden="1">
      <c r="A87" s="5" t="s">
        <v>308</v>
      </c>
      <c r="B87" s="5">
        <v>3.076</v>
      </c>
      <c r="C87" s="5">
        <v>0.0</v>
      </c>
      <c r="D87" s="5" t="s">
        <v>485</v>
      </c>
    </row>
    <row r="88" hidden="1">
      <c r="A88" s="5" t="s">
        <v>311</v>
      </c>
      <c r="B88" s="5">
        <v>2.11</v>
      </c>
      <c r="C88" s="5">
        <v>0.0</v>
      </c>
      <c r="D88" s="5" t="s">
        <v>487</v>
      </c>
    </row>
    <row r="89" hidden="1">
      <c r="A89" s="5" t="s">
        <v>314</v>
      </c>
      <c r="B89" s="5">
        <v>4.2940000000000005</v>
      </c>
      <c r="C89" s="5">
        <v>0.0</v>
      </c>
      <c r="D89" s="5" t="s">
        <v>485</v>
      </c>
    </row>
    <row r="90" hidden="1">
      <c r="A90" s="5" t="s">
        <v>317</v>
      </c>
      <c r="B90" s="5">
        <v>4.244000000000001</v>
      </c>
      <c r="C90" s="5">
        <v>0.0</v>
      </c>
      <c r="D90" s="5" t="s">
        <v>485</v>
      </c>
    </row>
    <row r="91" hidden="1">
      <c r="A91" s="5" t="s">
        <v>320</v>
      </c>
      <c r="B91" s="5">
        <v>3.415</v>
      </c>
      <c r="C91" s="5">
        <v>0.0</v>
      </c>
      <c r="D91" s="5" t="s">
        <v>485</v>
      </c>
    </row>
    <row r="92" hidden="1">
      <c r="A92" s="5" t="s">
        <v>323</v>
      </c>
      <c r="B92" s="5">
        <v>3.8070000000000004</v>
      </c>
      <c r="C92" s="5">
        <v>0.0</v>
      </c>
      <c r="D92" s="5" t="s">
        <v>485</v>
      </c>
    </row>
    <row r="93" hidden="1">
      <c r="A93" s="5" t="s">
        <v>327</v>
      </c>
      <c r="B93" s="5">
        <v>3.924</v>
      </c>
      <c r="C93" s="5">
        <v>0.0</v>
      </c>
      <c r="D93" s="5" t="s">
        <v>485</v>
      </c>
    </row>
    <row r="94" hidden="1">
      <c r="A94" s="5" t="s">
        <v>331</v>
      </c>
      <c r="B94" s="5">
        <v>2.995</v>
      </c>
      <c r="C94" s="5">
        <v>0.0</v>
      </c>
      <c r="D94" s="5" t="s">
        <v>487</v>
      </c>
    </row>
    <row r="95" hidden="1">
      <c r="A95" s="5" t="s">
        <v>337</v>
      </c>
      <c r="B95" s="5">
        <v>3.076</v>
      </c>
      <c r="C95" s="5">
        <v>0.0</v>
      </c>
      <c r="D95" s="5" t="s">
        <v>485</v>
      </c>
    </row>
    <row r="96" hidden="1">
      <c r="A96" s="5" t="s">
        <v>342</v>
      </c>
      <c r="B96" s="5">
        <v>2.1489999999999996</v>
      </c>
      <c r="C96" s="5">
        <v>0.0</v>
      </c>
      <c r="D96" s="5" t="s">
        <v>487</v>
      </c>
    </row>
    <row r="97" hidden="1">
      <c r="A97" s="5" t="s">
        <v>347</v>
      </c>
      <c r="B97" s="5">
        <v>2.6699999999999995</v>
      </c>
      <c r="C97" s="5">
        <v>0.0</v>
      </c>
      <c r="D97" s="5" t="s">
        <v>487</v>
      </c>
    </row>
    <row r="98" hidden="1">
      <c r="A98" s="5" t="s">
        <v>350</v>
      </c>
      <c r="B98" s="5">
        <v>4.227</v>
      </c>
      <c r="C98" s="5">
        <v>0.0</v>
      </c>
      <c r="D98" s="5" t="s">
        <v>485</v>
      </c>
    </row>
    <row r="99" hidden="1">
      <c r="A99" s="5" t="s">
        <v>354</v>
      </c>
      <c r="B99" s="5">
        <v>3.79</v>
      </c>
      <c r="C99" s="5">
        <v>0.0</v>
      </c>
      <c r="D99" s="5" t="s">
        <v>485</v>
      </c>
    </row>
    <row r="100" hidden="1">
      <c r="A100" s="5" t="s">
        <v>359</v>
      </c>
      <c r="B100" s="5">
        <v>4.227</v>
      </c>
      <c r="C100" s="5">
        <v>0.0</v>
      </c>
      <c r="D100" s="5" t="s">
        <v>485</v>
      </c>
    </row>
    <row r="101" hidden="1">
      <c r="A101" s="5" t="s">
        <v>363</v>
      </c>
      <c r="B101" s="5">
        <v>3.924</v>
      </c>
      <c r="C101" s="5">
        <v>0.0</v>
      </c>
      <c r="D101" s="5" t="s">
        <v>485</v>
      </c>
    </row>
    <row r="102" hidden="1">
      <c r="A102" s="5" t="s">
        <v>367</v>
      </c>
      <c r="B102" s="5">
        <v>3.79</v>
      </c>
      <c r="C102" s="5">
        <v>0.0</v>
      </c>
      <c r="D102" s="5" t="s">
        <v>485</v>
      </c>
    </row>
    <row r="103" hidden="1">
      <c r="A103" s="5" t="s">
        <v>372</v>
      </c>
      <c r="B103" s="5">
        <v>3.754</v>
      </c>
      <c r="C103" s="5">
        <v>0.0</v>
      </c>
      <c r="D103" s="5" t="s">
        <v>485</v>
      </c>
    </row>
    <row r="104" hidden="1">
      <c r="A104" s="5" t="s">
        <v>376</v>
      </c>
      <c r="B104" s="5">
        <v>3.821</v>
      </c>
      <c r="C104" s="5">
        <v>0.0</v>
      </c>
      <c r="D104" s="5" t="s">
        <v>485</v>
      </c>
    </row>
    <row r="105" hidden="1">
      <c r="A105" s="5" t="s">
        <v>380</v>
      </c>
      <c r="B105" s="5">
        <v>3.4819999999999998</v>
      </c>
      <c r="C105" s="5">
        <v>0.0</v>
      </c>
      <c r="D105" s="5" t="s">
        <v>485</v>
      </c>
    </row>
    <row r="106" hidden="1">
      <c r="A106" s="5" t="s">
        <v>385</v>
      </c>
      <c r="B106" s="5">
        <v>3.549</v>
      </c>
      <c r="C106" s="5">
        <v>0.0</v>
      </c>
      <c r="D106" s="5" t="s">
        <v>485</v>
      </c>
    </row>
    <row r="107" hidden="1">
      <c r="A107" s="5" t="s">
        <v>388</v>
      </c>
      <c r="B107" s="5">
        <v>4.196000000000001</v>
      </c>
      <c r="C107" s="5">
        <v>0.0</v>
      </c>
      <c r="D107" s="5" t="s">
        <v>485</v>
      </c>
    </row>
    <row r="108" hidden="1">
      <c r="A108" s="5" t="s">
        <v>391</v>
      </c>
      <c r="B108" s="5">
        <v>3.79</v>
      </c>
      <c r="C108" s="5">
        <v>0.0</v>
      </c>
      <c r="D108" s="5" t="s">
        <v>485</v>
      </c>
    </row>
    <row r="109" hidden="1">
      <c r="A109" s="5" t="s">
        <v>394</v>
      </c>
      <c r="B109" s="5">
        <v>4.263000000000001</v>
      </c>
      <c r="C109" s="5">
        <v>0.0</v>
      </c>
      <c r="D109" s="5" t="s">
        <v>485</v>
      </c>
    </row>
    <row r="110" hidden="1">
      <c r="A110" s="5" t="s">
        <v>397</v>
      </c>
      <c r="B110" s="5">
        <v>4.196000000000001</v>
      </c>
      <c r="C110" s="5">
        <v>0.0</v>
      </c>
      <c r="D110" s="5" t="s">
        <v>485</v>
      </c>
    </row>
    <row r="111" hidden="1">
      <c r="A111" s="5" t="s">
        <v>400</v>
      </c>
      <c r="B111" s="5">
        <v>4.213000000000001</v>
      </c>
      <c r="C111" s="5">
        <v>0.0</v>
      </c>
      <c r="D111" s="5" t="s">
        <v>485</v>
      </c>
    </row>
    <row r="112" hidden="1">
      <c r="A112" s="5" t="s">
        <v>403</v>
      </c>
      <c r="B112" s="5">
        <v>4.1770000000000005</v>
      </c>
      <c r="C112" s="5">
        <v>0.0</v>
      </c>
      <c r="D112" s="5" t="s">
        <v>485</v>
      </c>
    </row>
    <row r="113" hidden="1">
      <c r="A113" s="5" t="s">
        <v>406</v>
      </c>
      <c r="B113" s="5">
        <v>4.037</v>
      </c>
      <c r="C113" s="5">
        <v>0.0</v>
      </c>
      <c r="D113" s="5" t="s">
        <v>485</v>
      </c>
    </row>
    <row r="114" hidden="1">
      <c r="A114" s="5" t="s">
        <v>409</v>
      </c>
      <c r="B114" s="5">
        <v>2.436</v>
      </c>
      <c r="C114" s="5">
        <v>0.0</v>
      </c>
      <c r="D114" s="5" t="s">
        <v>487</v>
      </c>
    </row>
  </sheetData>
  <autoFilter ref="$A$1:$D$114">
    <filterColumn colId="2">
      <filters>
        <filter val="1"/>
      </filters>
    </filterColumn>
  </autoFilter>
  <conditionalFormatting sqref="H3:H4">
    <cfRule type="notContainsBlanks" dxfId="0" priority="1">
      <formula>LEN(TRIM(H3))&gt;0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2025-11-20T01:57:36Z</dcterms:created>
  <dc:creator>Si Surabaya</dc:creator>
</cp:coreProperties>
</file>